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nnonpowelson/Downloads/"/>
    </mc:Choice>
  </mc:AlternateContent>
  <xr:revisionPtr revIDLastSave="0" documentId="8_{9686DB57-8E93-6D44-ACB8-9FF94FF59557}" xr6:coauthVersionLast="45" xr6:coauthVersionMax="45" xr10:uidLastSave="{00000000-0000-0000-0000-000000000000}"/>
  <bookViews>
    <workbookView xWindow="780" yWindow="960" windowWidth="27640" windowHeight="16160" activeTab="3" xr2:uid="{8E153194-6410-4B4E-A6C2-75C289AC34F9}"/>
  </bookViews>
  <sheets>
    <sheet name="Data" sheetId="5" r:id="rId1"/>
    <sheet name="Simple LR Graphs Age" sheetId="1" r:id="rId2"/>
    <sheet name="Simple LR Graphs Gender" sheetId="6" r:id="rId3"/>
    <sheet name="Multiple Regression" sheetId="8" r:id="rId4"/>
    <sheet name="Chart" sheetId="9" r:id="rId5"/>
    <sheet name="Chart2" sheetId="10" r:id="rId6"/>
    <sheet name="Chart3" sheetId="12" r:id="rId7"/>
    <sheet name="Chart4" sheetId="11" r:id="rId8"/>
  </sheets>
  <externalReferences>
    <externalReference r:id="rId9"/>
  </externalReferences>
  <definedNames>
    <definedName name="_xlchart.v1.0" hidden="1">'Simple LR Graphs Age'!$B$1</definedName>
    <definedName name="_xlchart.v1.1" hidden="1">'Simple LR Graphs Age'!$B$2:$B$35</definedName>
    <definedName name="_xlchart.v1.10" hidden="1">'Simple LR Graphs Age'!$C$1</definedName>
    <definedName name="_xlchart.v1.11" hidden="1">'Simple LR Graphs Age'!$C$2:$C$35</definedName>
    <definedName name="_xlchart.v1.2" hidden="1">'Simple LR Graphs Age'!$C$1</definedName>
    <definedName name="_xlchart.v1.3" hidden="1">'Simple LR Graphs Age'!$C$2:$C$35</definedName>
    <definedName name="_xlchart.v1.4" hidden="1">'Simple LR Graphs Age'!$B$1</definedName>
    <definedName name="_xlchart.v1.5" hidden="1">'Simple LR Graphs Age'!$B$2:$B$35</definedName>
    <definedName name="_xlchart.v1.6" hidden="1">'Simple LR Graphs Age'!$C$1</definedName>
    <definedName name="_xlchart.v1.7" hidden="1">'Simple LR Graphs Age'!$C$2:$C$35</definedName>
    <definedName name="_xlchart.v1.8" hidden="1">'Simple LR Graphs Age'!$B$1</definedName>
    <definedName name="_xlchart.v1.9" hidden="1">'Simple LR Graphs Age'!$B$2:$B$35</definedName>
  </definedNames>
  <calcPr calcId="181029"/>
  <pivotCaches>
    <pivotCache cacheId="67" r:id="rId10"/>
    <pivotCache cacheId="7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" i="6" l="1" a="1"/>
  <c r="L1" i="6" s="1"/>
  <c r="K1" i="6" a="1"/>
  <c r="K1" i="6" s="1"/>
  <c r="L1" i="5" a="1"/>
  <c r="L1" i="5" s="1"/>
  <c r="K1" i="5" a="1"/>
  <c r="K1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<sst xmlns="http://schemas.openxmlformats.org/spreadsheetml/2006/main" count="123" uniqueCount="51">
  <si>
    <t>Date</t>
  </si>
  <si>
    <t>Total Living Donors</t>
  </si>
  <si>
    <t>&lt; 1 Year</t>
  </si>
  <si>
    <t>1-5 Years</t>
  </si>
  <si>
    <t>6-10 Years</t>
  </si>
  <si>
    <t>11-17 Years</t>
  </si>
  <si>
    <t>18-34 Years</t>
  </si>
  <si>
    <t>35-49 Years</t>
  </si>
  <si>
    <t>50-64 Years</t>
  </si>
  <si>
    <t>65 +</t>
  </si>
  <si>
    <t>Grand Total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</si>
  <si>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</si>
  <si>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</si>
  <si>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</si>
  <si>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</si>
  <si>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</si>
  <si>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</si>
  <si>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</si>
  <si>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</si>
  <si>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</si>
  <si>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</si>
  <si>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</si>
  <si>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</si>
  <si>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</si>
  <si>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</si>
  <si>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</si>
  <si>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</si>
  <si>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</si>
  <si>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</si>
  <si>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</si>
  <si>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</si>
  <si>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</si>
  <si>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</si>
  <si>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</si>
  <si>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</si>
  <si>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</si>
  <si>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</si>
  <si>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Total Living Donors</t>
  </si>
  <si>
    <t>Residuals</t>
  </si>
  <si>
    <t>Male</t>
  </si>
  <si>
    <t>Female</t>
  </si>
  <si>
    <t xml:space="preserve">Independent Variable </t>
  </si>
  <si>
    <t>P-Value</t>
  </si>
  <si>
    <t>Idenpendent Variables</t>
  </si>
  <si>
    <t>P-Values</t>
  </si>
  <si>
    <t>Coefficient</t>
  </si>
  <si>
    <t>Standard Errors</t>
  </si>
  <si>
    <t>Independent Variable</t>
  </si>
  <si>
    <t>R-Squared</t>
  </si>
  <si>
    <t>R-Squared Values</t>
  </si>
  <si>
    <t>Independent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</si>
</sst>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3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Continuous"/>
    </xf>
    <xf numFmtId="0" fontId="2" fillId="0" borderId="0" xfId="0" applyFont="1"/>
    <xf numFmtId="0" fontId="2" fillId="0" borderId="0" xfId="0" applyNumberFormat="1" applyFont="1"/>
    <xf numFmtId="0" fontId="2" fillId="0" borderId="1" xfId="0" applyNumberFormat="1" applyFont="1" applyBorder="1"/>
    <xf numFmtId="0" fontId="0" fillId="0" borderId="1" xfId="0" applyFont="1" applyFill="1" applyBorder="1" applyAlignment="1"/>
    <xf numFmtId="0" fontId="0" fillId="0" borderId="0" xfId="0" applyAlignment="1">
      <alignment horizontal="right"/>
    </xf>
    <xf numFmtId="0" fontId="0" fillId="0" borderId="0" xfId="0" pivotButton="1" applyAlignment="1">
      <alignment horizontal="left"/>
    </xf>
    <xf numFmtId="11" fontId="0" fillId="0" borderId="0" xfId="0" applyNumberFormat="1" applyFill="1" applyBorder="1" applyAlignment="1"/>
  </cellXfs>
  <cellStyles count="1">
    <cellStyle name="Normal" xfId="0" builtinId="0"/>
  </cellStyles>
  <dxfs count="20">
    <dxf>
      <alignment horizontal="left"/>
    </dxf>
    <dxf>
      <alignment horizontal="right"/>
    </dxf>
    <dxf>
      <alignment horizontal="right"/>
    </dxf>
    <dxf>
      <alignment vertical="bottom"/>
    </dxf>
    <dxf>
      <alignment horizontal="right"/>
    </dxf>
    <dxf>
      <alignment horizontal="right"/>
    </dxf>
    <dxf>
      <alignment horizontal="left"/>
    </dxf>
    <dxf>
      <alignment horizontal="right"/>
    </dxf>
    <dxf>
      <alignment horizontal="right"/>
    </dxf>
    <dxf>
      <alignment vertical="bottom"/>
    </dxf>
    <dxf>
      <alignment horizontal="right"/>
    </dxf>
    <dxf>
      <alignment horizontal="right"/>
    </dxf>
    <dxf>
      <alignment horizontal="left"/>
    </dxf>
    <dxf>
      <alignment horizontal="right"/>
    </dxf>
    <dxf>
      <alignment horizontal="left"/>
    </dxf>
    <dxf>
      <alignment horizontal="center"/>
    </dxf>
    <dxf>
      <alignment horizontal="right"/>
    </dxf>
    <dxf>
      <alignment horizontal="right"/>
    </dxf>
    <dxf>
      <alignment vertical="center"/>
    </dxf>
    <dxf>
      <alignment vertical="botto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</a:t>
            </a:r>
            <a:r>
              <a:rPr lang="en-US"/>
              <a:t>18-34 Year</a:t>
            </a:r>
            <a:r>
              <a:rPr lang="en-US" baseline="0"/>
              <a:t> Olds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5025347858914811E-2"/>
                  <c:y val="0.248840694221180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Age'!$G$2:$G$35</c:f>
              <c:numCache>
                <c:formatCode>#,##0</c:formatCode>
                <c:ptCount val="34"/>
                <c:pt idx="0" formatCode="General">
                  <c:v>126</c:v>
                </c:pt>
                <c:pt idx="1">
                  <c:v>1597</c:v>
                </c:pt>
                <c:pt idx="2">
                  <c:v>2020</c:v>
                </c:pt>
                <c:pt idx="3">
                  <c:v>1840</c:v>
                </c:pt>
                <c:pt idx="4">
                  <c:v>1740</c:v>
                </c:pt>
                <c:pt idx="5">
                  <c:v>1751</c:v>
                </c:pt>
                <c:pt idx="6">
                  <c:v>1731</c:v>
                </c:pt>
                <c:pt idx="7">
                  <c:v>1762</c:v>
                </c:pt>
                <c:pt idx="8">
                  <c:v>1846</c:v>
                </c:pt>
                <c:pt idx="9">
                  <c:v>1774</c:v>
                </c:pt>
                <c:pt idx="10">
                  <c:v>1769</c:v>
                </c:pt>
                <c:pt idx="11">
                  <c:v>2041</c:v>
                </c:pt>
                <c:pt idx="12">
                  <c:v>2030</c:v>
                </c:pt>
                <c:pt idx="13">
                  <c:v>1969</c:v>
                </c:pt>
                <c:pt idx="14">
                  <c:v>1987</c:v>
                </c:pt>
                <c:pt idx="15">
                  <c:v>2180</c:v>
                </c:pt>
                <c:pt idx="16">
                  <c:v>2221</c:v>
                </c:pt>
                <c:pt idx="17">
                  <c:v>2359</c:v>
                </c:pt>
                <c:pt idx="18">
                  <c:v>2286</c:v>
                </c:pt>
                <c:pt idx="19">
                  <c:v>2237</c:v>
                </c:pt>
                <c:pt idx="20">
                  <c:v>2310</c:v>
                </c:pt>
                <c:pt idx="21">
                  <c:v>2047</c:v>
                </c:pt>
                <c:pt idx="22">
                  <c:v>1772</c:v>
                </c:pt>
                <c:pt idx="23">
                  <c:v>1615</c:v>
                </c:pt>
                <c:pt idx="24">
                  <c:v>1558</c:v>
                </c:pt>
                <c:pt idx="25">
                  <c:v>1428</c:v>
                </c:pt>
                <c:pt idx="26">
                  <c:v>1320</c:v>
                </c:pt>
                <c:pt idx="27">
                  <c:v>1279</c:v>
                </c:pt>
                <c:pt idx="28">
                  <c:v>1243</c:v>
                </c:pt>
                <c:pt idx="29">
                  <c:v>1120</c:v>
                </c:pt>
                <c:pt idx="30">
                  <c:v>1054</c:v>
                </c:pt>
                <c:pt idx="31" formatCode="General">
                  <c:v>961</c:v>
                </c:pt>
                <c:pt idx="32" formatCode="General">
                  <c:v>870</c:v>
                </c:pt>
                <c:pt idx="33" formatCode="General">
                  <c:v>872</c:v>
                </c:pt>
              </c:numCache>
            </c:numRef>
          </c:xVal>
          <c:yVal>
            <c:numRef>
              <c:f>'Simple LR Graphs Age'!$B$1:$B$35</c:f>
              <c:numCache>
                <c:formatCode>General</c:formatCode>
                <c:ptCount val="35"/>
                <c:pt idx="0">
                  <c:v>0</c:v>
                </c:pt>
                <c:pt idx="1">
                  <c:v>430</c:v>
                </c:pt>
                <c:pt idx="2" formatCode="#,##0">
                  <c:v>5728</c:v>
                </c:pt>
                <c:pt idx="3" formatCode="#,##0">
                  <c:v>7383</c:v>
                </c:pt>
                <c:pt idx="4" formatCode="#,##0">
                  <c:v>6848</c:v>
                </c:pt>
                <c:pt idx="5" formatCode="#,##0">
                  <c:v>6182</c:v>
                </c:pt>
                <c:pt idx="6" formatCode="#,##0">
                  <c:v>5975</c:v>
                </c:pt>
                <c:pt idx="7" formatCode="#,##0">
                  <c:v>5989</c:v>
                </c:pt>
                <c:pt idx="8" formatCode="#,##0">
                  <c:v>5820</c:v>
                </c:pt>
                <c:pt idx="9" formatCode="#,##0">
                  <c:v>5989</c:v>
                </c:pt>
                <c:pt idx="10" formatCode="#,##0">
                  <c:v>5867</c:v>
                </c:pt>
                <c:pt idx="11" formatCode="#,##0">
                  <c:v>6023</c:v>
                </c:pt>
                <c:pt idx="12" formatCode="#,##0">
                  <c:v>6562</c:v>
                </c:pt>
                <c:pt idx="13" formatCode="#,##0">
                  <c:v>6610</c:v>
                </c:pt>
                <c:pt idx="14" formatCode="#,##0">
                  <c:v>6218</c:v>
                </c:pt>
                <c:pt idx="15" formatCode="#,##0">
                  <c:v>6315</c:v>
                </c:pt>
                <c:pt idx="16" formatCode="#,##0">
                  <c:v>6733</c:v>
                </c:pt>
                <c:pt idx="17" formatCode="#,##0">
                  <c:v>6904</c:v>
                </c:pt>
                <c:pt idx="18" formatCode="#,##0">
                  <c:v>7005</c:v>
                </c:pt>
                <c:pt idx="19" formatCode="#,##0">
                  <c:v>6828</c:v>
                </c:pt>
                <c:pt idx="20" formatCode="#,##0">
                  <c:v>6631</c:v>
                </c:pt>
                <c:pt idx="21" formatCode="#,##0">
                  <c:v>6622</c:v>
                </c:pt>
                <c:pt idx="22" formatCode="#,##0">
                  <c:v>5957</c:v>
                </c:pt>
                <c:pt idx="23" formatCode="#,##0">
                  <c:v>5048</c:v>
                </c:pt>
                <c:pt idx="24" formatCode="#,##0">
                  <c:v>4569</c:v>
                </c:pt>
                <c:pt idx="25" formatCode="#,##0">
                  <c:v>4067</c:v>
                </c:pt>
                <c:pt idx="26" formatCode="#,##0">
                  <c:v>3804</c:v>
                </c:pt>
                <c:pt idx="27" formatCode="#,##0">
                  <c:v>3496</c:v>
                </c:pt>
                <c:pt idx="28" formatCode="#,##0">
                  <c:v>3104</c:v>
                </c:pt>
                <c:pt idx="29" formatCode="#,##0">
                  <c:v>2905</c:v>
                </c:pt>
                <c:pt idx="30" formatCode="#,##0">
                  <c:v>2571</c:v>
                </c:pt>
                <c:pt idx="31" formatCode="#,##0">
                  <c:v>2427</c:v>
                </c:pt>
                <c:pt idx="32" formatCode="#,##0">
                  <c:v>2123</c:v>
                </c:pt>
                <c:pt idx="33" formatCode="#,##0">
                  <c:v>1918</c:v>
                </c:pt>
                <c:pt idx="34" formatCode="#,##0">
                  <c:v>1829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013-0348-9AC6-1BFFB54A3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43792"/>
        <c:axId val="477425632"/>
      </c:scatterChart>
      <c:valAx>
        <c:axId val="9663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18-34 Year Old Living Donors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25632"/>
        <c:crosses val="autoZero"/>
        <c:crossBetween val="midCat"/>
      </c:valAx>
      <c:valAx>
        <c:axId val="47742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3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35-49</a:t>
            </a:r>
            <a:r>
              <a:rPr lang="en-US"/>
              <a:t> Year</a:t>
            </a:r>
            <a:r>
              <a:rPr lang="en-US" baseline="0"/>
              <a:t> Olds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LR Graphs Age'!$G$1</c:f>
              <c:strCache>
                <c:ptCount val="1"/>
                <c:pt idx="0">
                  <c:v>18-34 Years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5025347858914811E-2"/>
                  <c:y val="0.248840694221180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Age'!$H$2:$H$35</c:f>
              <c:numCache>
                <c:formatCode>#,##0</c:formatCode>
                <c:ptCount val="34"/>
                <c:pt idx="0" formatCode="General">
                  <c:v>167</c:v>
                </c:pt>
                <c:pt idx="1">
                  <c:v>2135</c:v>
                </c:pt>
                <c:pt idx="2">
                  <c:v>2887</c:v>
                </c:pt>
                <c:pt idx="3">
                  <c:v>2722</c:v>
                </c:pt>
                <c:pt idx="4">
                  <c:v>2413</c:v>
                </c:pt>
                <c:pt idx="5">
                  <c:v>2318</c:v>
                </c:pt>
                <c:pt idx="6">
                  <c:v>2355</c:v>
                </c:pt>
                <c:pt idx="7">
                  <c:v>2368</c:v>
                </c:pt>
                <c:pt idx="8">
                  <c:v>2440</c:v>
                </c:pt>
                <c:pt idx="9">
                  <c:v>2452</c:v>
                </c:pt>
                <c:pt idx="10">
                  <c:v>2535</c:v>
                </c:pt>
                <c:pt idx="11">
                  <c:v>2758</c:v>
                </c:pt>
                <c:pt idx="12">
                  <c:v>2839</c:v>
                </c:pt>
                <c:pt idx="13">
                  <c:v>2688</c:v>
                </c:pt>
                <c:pt idx="14">
                  <c:v>2790</c:v>
                </c:pt>
                <c:pt idx="15">
                  <c:v>3045</c:v>
                </c:pt>
                <c:pt idx="16">
                  <c:v>3246</c:v>
                </c:pt>
                <c:pt idx="17">
                  <c:v>3228</c:v>
                </c:pt>
                <c:pt idx="18">
                  <c:v>3223</c:v>
                </c:pt>
                <c:pt idx="19">
                  <c:v>3097</c:v>
                </c:pt>
                <c:pt idx="20">
                  <c:v>3074</c:v>
                </c:pt>
                <c:pt idx="21">
                  <c:v>2820</c:v>
                </c:pt>
                <c:pt idx="22">
                  <c:v>2350</c:v>
                </c:pt>
                <c:pt idx="23">
                  <c:v>2093</c:v>
                </c:pt>
                <c:pt idx="24">
                  <c:v>1807</c:v>
                </c:pt>
                <c:pt idx="25">
                  <c:v>1761</c:v>
                </c:pt>
                <c:pt idx="26">
                  <c:v>1610</c:v>
                </c:pt>
                <c:pt idx="27">
                  <c:v>1346</c:v>
                </c:pt>
                <c:pt idx="28">
                  <c:v>1203</c:v>
                </c:pt>
                <c:pt idx="29">
                  <c:v>1069</c:v>
                </c:pt>
                <c:pt idx="30">
                  <c:v>1050</c:v>
                </c:pt>
                <c:pt idx="31" formatCode="General">
                  <c:v>852</c:v>
                </c:pt>
                <c:pt idx="32" formatCode="General">
                  <c:v>757</c:v>
                </c:pt>
                <c:pt idx="33" formatCode="General">
                  <c:v>717</c:v>
                </c:pt>
              </c:numCache>
            </c:numRef>
          </c:xVal>
          <c:yVal>
            <c:numRef>
              <c:f>'Simple LR Graphs Age'!$B$1:$B$35</c:f>
              <c:numCache>
                <c:formatCode>General</c:formatCode>
                <c:ptCount val="35"/>
                <c:pt idx="0">
                  <c:v>0</c:v>
                </c:pt>
                <c:pt idx="1">
                  <c:v>430</c:v>
                </c:pt>
                <c:pt idx="2" formatCode="#,##0">
                  <c:v>5728</c:v>
                </c:pt>
                <c:pt idx="3" formatCode="#,##0">
                  <c:v>7383</c:v>
                </c:pt>
                <c:pt idx="4" formatCode="#,##0">
                  <c:v>6848</c:v>
                </c:pt>
                <c:pt idx="5" formatCode="#,##0">
                  <c:v>6182</c:v>
                </c:pt>
                <c:pt idx="6" formatCode="#,##0">
                  <c:v>5975</c:v>
                </c:pt>
                <c:pt idx="7" formatCode="#,##0">
                  <c:v>5989</c:v>
                </c:pt>
                <c:pt idx="8" formatCode="#,##0">
                  <c:v>5820</c:v>
                </c:pt>
                <c:pt idx="9" formatCode="#,##0">
                  <c:v>5989</c:v>
                </c:pt>
                <c:pt idx="10" formatCode="#,##0">
                  <c:v>5867</c:v>
                </c:pt>
                <c:pt idx="11" formatCode="#,##0">
                  <c:v>6023</c:v>
                </c:pt>
                <c:pt idx="12" formatCode="#,##0">
                  <c:v>6562</c:v>
                </c:pt>
                <c:pt idx="13" formatCode="#,##0">
                  <c:v>6610</c:v>
                </c:pt>
                <c:pt idx="14" formatCode="#,##0">
                  <c:v>6218</c:v>
                </c:pt>
                <c:pt idx="15" formatCode="#,##0">
                  <c:v>6315</c:v>
                </c:pt>
                <c:pt idx="16" formatCode="#,##0">
                  <c:v>6733</c:v>
                </c:pt>
                <c:pt idx="17" formatCode="#,##0">
                  <c:v>6904</c:v>
                </c:pt>
                <c:pt idx="18" formatCode="#,##0">
                  <c:v>7005</c:v>
                </c:pt>
                <c:pt idx="19" formatCode="#,##0">
                  <c:v>6828</c:v>
                </c:pt>
                <c:pt idx="20" formatCode="#,##0">
                  <c:v>6631</c:v>
                </c:pt>
                <c:pt idx="21" formatCode="#,##0">
                  <c:v>6622</c:v>
                </c:pt>
                <c:pt idx="22" formatCode="#,##0">
                  <c:v>5957</c:v>
                </c:pt>
                <c:pt idx="23" formatCode="#,##0">
                  <c:v>5048</c:v>
                </c:pt>
                <c:pt idx="24" formatCode="#,##0">
                  <c:v>4569</c:v>
                </c:pt>
                <c:pt idx="25" formatCode="#,##0">
                  <c:v>4067</c:v>
                </c:pt>
                <c:pt idx="26" formatCode="#,##0">
                  <c:v>3804</c:v>
                </c:pt>
                <c:pt idx="27" formatCode="#,##0">
                  <c:v>3496</c:v>
                </c:pt>
                <c:pt idx="28" formatCode="#,##0">
                  <c:v>3104</c:v>
                </c:pt>
                <c:pt idx="29" formatCode="#,##0">
                  <c:v>2905</c:v>
                </c:pt>
                <c:pt idx="30" formatCode="#,##0">
                  <c:v>2571</c:v>
                </c:pt>
                <c:pt idx="31" formatCode="#,##0">
                  <c:v>2427</c:v>
                </c:pt>
                <c:pt idx="32" formatCode="#,##0">
                  <c:v>2123</c:v>
                </c:pt>
                <c:pt idx="33" formatCode="#,##0">
                  <c:v>1918</c:v>
                </c:pt>
                <c:pt idx="34" formatCode="#,##0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3E-2B4A-8677-6EFCCA0EA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43792"/>
        <c:axId val="477425632"/>
      </c:scatterChart>
      <c:valAx>
        <c:axId val="9663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35-49 Year Old Living Donors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25632"/>
        <c:crosses val="autoZero"/>
        <c:crossBetween val="midCat"/>
      </c:valAx>
      <c:valAx>
        <c:axId val="47742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3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50-64</a:t>
            </a:r>
            <a:r>
              <a:rPr lang="en-US"/>
              <a:t> Year</a:t>
            </a:r>
            <a:r>
              <a:rPr lang="en-US" baseline="0"/>
              <a:t> Olds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LR Graphs Age'!$G$1</c:f>
              <c:strCache>
                <c:ptCount val="1"/>
                <c:pt idx="0">
                  <c:v>18-34 Years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5025347858914811E-2"/>
                  <c:y val="0.248840694221180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Age'!$I$2:$I$35</c:f>
              <c:numCache>
                <c:formatCode>#,##0</c:formatCode>
                <c:ptCount val="34"/>
                <c:pt idx="0" formatCode="General">
                  <c:v>114</c:v>
                </c:pt>
                <c:pt idx="1">
                  <c:v>1690</c:v>
                </c:pt>
                <c:pt idx="2">
                  <c:v>2120</c:v>
                </c:pt>
                <c:pt idx="3">
                  <c:v>1952</c:v>
                </c:pt>
                <c:pt idx="4">
                  <c:v>1784</c:v>
                </c:pt>
                <c:pt idx="5">
                  <c:v>1711</c:v>
                </c:pt>
                <c:pt idx="6">
                  <c:v>1690</c:v>
                </c:pt>
                <c:pt idx="7">
                  <c:v>1527</c:v>
                </c:pt>
                <c:pt idx="8">
                  <c:v>1583</c:v>
                </c:pt>
                <c:pt idx="9">
                  <c:v>1513</c:v>
                </c:pt>
                <c:pt idx="10">
                  <c:v>1621</c:v>
                </c:pt>
                <c:pt idx="11">
                  <c:v>1636</c:v>
                </c:pt>
                <c:pt idx="12">
                  <c:v>1633</c:v>
                </c:pt>
                <c:pt idx="13">
                  <c:v>1471</c:v>
                </c:pt>
                <c:pt idx="14">
                  <c:v>1456</c:v>
                </c:pt>
                <c:pt idx="15">
                  <c:v>1433</c:v>
                </c:pt>
                <c:pt idx="16">
                  <c:v>1379</c:v>
                </c:pt>
                <c:pt idx="17">
                  <c:v>1361</c:v>
                </c:pt>
                <c:pt idx="18">
                  <c:v>1252</c:v>
                </c:pt>
                <c:pt idx="19">
                  <c:v>1234</c:v>
                </c:pt>
                <c:pt idx="20">
                  <c:v>1167</c:v>
                </c:pt>
                <c:pt idx="21">
                  <c:v>1033</c:v>
                </c:pt>
                <c:pt idx="22" formatCode="General">
                  <c:v>882</c:v>
                </c:pt>
                <c:pt idx="23" formatCode="General">
                  <c:v>801</c:v>
                </c:pt>
                <c:pt idx="24" formatCode="General">
                  <c:v>653</c:v>
                </c:pt>
                <c:pt idx="25" formatCode="General">
                  <c:v>570</c:v>
                </c:pt>
                <c:pt idx="26" formatCode="General">
                  <c:v>525</c:v>
                </c:pt>
                <c:pt idx="27" formatCode="General">
                  <c:v>443</c:v>
                </c:pt>
                <c:pt idx="28" formatCode="General">
                  <c:v>426</c:v>
                </c:pt>
                <c:pt idx="29" formatCode="General">
                  <c:v>347</c:v>
                </c:pt>
                <c:pt idx="30" formatCode="General">
                  <c:v>300</c:v>
                </c:pt>
                <c:pt idx="31" formatCode="General">
                  <c:v>279</c:v>
                </c:pt>
                <c:pt idx="32" formatCode="General">
                  <c:v>267</c:v>
                </c:pt>
                <c:pt idx="33" formatCode="General">
                  <c:v>222</c:v>
                </c:pt>
              </c:numCache>
            </c:numRef>
          </c:xVal>
          <c:yVal>
            <c:numRef>
              <c:f>'Simple LR Graphs Age'!$B$1:$B$35</c:f>
              <c:numCache>
                <c:formatCode>General</c:formatCode>
                <c:ptCount val="35"/>
                <c:pt idx="0">
                  <c:v>0</c:v>
                </c:pt>
                <c:pt idx="1">
                  <c:v>430</c:v>
                </c:pt>
                <c:pt idx="2" formatCode="#,##0">
                  <c:v>5728</c:v>
                </c:pt>
                <c:pt idx="3" formatCode="#,##0">
                  <c:v>7383</c:v>
                </c:pt>
                <c:pt idx="4" formatCode="#,##0">
                  <c:v>6848</c:v>
                </c:pt>
                <c:pt idx="5" formatCode="#,##0">
                  <c:v>6182</c:v>
                </c:pt>
                <c:pt idx="6" formatCode="#,##0">
                  <c:v>5975</c:v>
                </c:pt>
                <c:pt idx="7" formatCode="#,##0">
                  <c:v>5989</c:v>
                </c:pt>
                <c:pt idx="8" formatCode="#,##0">
                  <c:v>5820</c:v>
                </c:pt>
                <c:pt idx="9" formatCode="#,##0">
                  <c:v>5989</c:v>
                </c:pt>
                <c:pt idx="10" formatCode="#,##0">
                  <c:v>5867</c:v>
                </c:pt>
                <c:pt idx="11" formatCode="#,##0">
                  <c:v>6023</c:v>
                </c:pt>
                <c:pt idx="12" formatCode="#,##0">
                  <c:v>6562</c:v>
                </c:pt>
                <c:pt idx="13" formatCode="#,##0">
                  <c:v>6610</c:v>
                </c:pt>
                <c:pt idx="14" formatCode="#,##0">
                  <c:v>6218</c:v>
                </c:pt>
                <c:pt idx="15" formatCode="#,##0">
                  <c:v>6315</c:v>
                </c:pt>
                <c:pt idx="16" formatCode="#,##0">
                  <c:v>6733</c:v>
                </c:pt>
                <c:pt idx="17" formatCode="#,##0">
                  <c:v>6904</c:v>
                </c:pt>
                <c:pt idx="18" formatCode="#,##0">
                  <c:v>7005</c:v>
                </c:pt>
                <c:pt idx="19" formatCode="#,##0">
                  <c:v>6828</c:v>
                </c:pt>
                <c:pt idx="20" formatCode="#,##0">
                  <c:v>6631</c:v>
                </c:pt>
                <c:pt idx="21" formatCode="#,##0">
                  <c:v>6622</c:v>
                </c:pt>
                <c:pt idx="22" formatCode="#,##0">
                  <c:v>5957</c:v>
                </c:pt>
                <c:pt idx="23" formatCode="#,##0">
                  <c:v>5048</c:v>
                </c:pt>
                <c:pt idx="24" formatCode="#,##0">
                  <c:v>4569</c:v>
                </c:pt>
                <c:pt idx="25" formatCode="#,##0">
                  <c:v>4067</c:v>
                </c:pt>
                <c:pt idx="26" formatCode="#,##0">
                  <c:v>3804</c:v>
                </c:pt>
                <c:pt idx="27" formatCode="#,##0">
                  <c:v>3496</c:v>
                </c:pt>
                <c:pt idx="28" formatCode="#,##0">
                  <c:v>3104</c:v>
                </c:pt>
                <c:pt idx="29" formatCode="#,##0">
                  <c:v>2905</c:v>
                </c:pt>
                <c:pt idx="30" formatCode="#,##0">
                  <c:v>2571</c:v>
                </c:pt>
                <c:pt idx="31" formatCode="#,##0">
                  <c:v>2427</c:v>
                </c:pt>
                <c:pt idx="32" formatCode="#,##0">
                  <c:v>2123</c:v>
                </c:pt>
                <c:pt idx="33" formatCode="#,##0">
                  <c:v>1918</c:v>
                </c:pt>
                <c:pt idx="34" formatCode="#,##0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E2-1146-BA91-5876FD303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43792"/>
        <c:axId val="477425632"/>
      </c:scatterChart>
      <c:valAx>
        <c:axId val="9663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50-64 Year Old Living Donors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25632"/>
        <c:crosses val="autoZero"/>
        <c:crossBetween val="midCat"/>
      </c:valAx>
      <c:valAx>
        <c:axId val="47742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3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65+</a:t>
            </a:r>
            <a:r>
              <a:rPr lang="en-US"/>
              <a:t> Year</a:t>
            </a:r>
            <a:r>
              <a:rPr lang="en-US" baseline="0"/>
              <a:t> Olds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LR Graphs Age'!$G$1</c:f>
              <c:strCache>
                <c:ptCount val="1"/>
                <c:pt idx="0">
                  <c:v>18-34 Years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5025347858914811E-2"/>
                  <c:y val="0.248840694221180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Age'!$J$2:$J$35</c:f>
              <c:numCache>
                <c:formatCode>General</c:formatCode>
                <c:ptCount val="34"/>
                <c:pt idx="0">
                  <c:v>22</c:v>
                </c:pt>
                <c:pt idx="1">
                  <c:v>302</c:v>
                </c:pt>
                <c:pt idx="2">
                  <c:v>354</c:v>
                </c:pt>
                <c:pt idx="3">
                  <c:v>332</c:v>
                </c:pt>
                <c:pt idx="4">
                  <c:v>242</c:v>
                </c:pt>
                <c:pt idx="5">
                  <c:v>192</c:v>
                </c:pt>
                <c:pt idx="6">
                  <c:v>204</c:v>
                </c:pt>
                <c:pt idx="7">
                  <c:v>160</c:v>
                </c:pt>
                <c:pt idx="8">
                  <c:v>120</c:v>
                </c:pt>
                <c:pt idx="9">
                  <c:v>126</c:v>
                </c:pt>
                <c:pt idx="10">
                  <c:v>97</c:v>
                </c:pt>
                <c:pt idx="11">
                  <c:v>121</c:v>
                </c:pt>
                <c:pt idx="12">
                  <c:v>107</c:v>
                </c:pt>
                <c:pt idx="13">
                  <c:v>90</c:v>
                </c:pt>
                <c:pt idx="14">
                  <c:v>80</c:v>
                </c:pt>
                <c:pt idx="15">
                  <c:v>72</c:v>
                </c:pt>
                <c:pt idx="16">
                  <c:v>58</c:v>
                </c:pt>
                <c:pt idx="17">
                  <c:v>57</c:v>
                </c:pt>
                <c:pt idx="18">
                  <c:v>66</c:v>
                </c:pt>
                <c:pt idx="19">
                  <c:v>61</c:v>
                </c:pt>
                <c:pt idx="20">
                  <c:v>70</c:v>
                </c:pt>
                <c:pt idx="21">
                  <c:v>52</c:v>
                </c:pt>
                <c:pt idx="22">
                  <c:v>41</c:v>
                </c:pt>
                <c:pt idx="23">
                  <c:v>53</c:v>
                </c:pt>
                <c:pt idx="24">
                  <c:v>47</c:v>
                </c:pt>
                <c:pt idx="25">
                  <c:v>36</c:v>
                </c:pt>
                <c:pt idx="26">
                  <c:v>37</c:v>
                </c:pt>
                <c:pt idx="27">
                  <c:v>32</c:v>
                </c:pt>
                <c:pt idx="28">
                  <c:v>28</c:v>
                </c:pt>
                <c:pt idx="29">
                  <c:v>34</c:v>
                </c:pt>
                <c:pt idx="30">
                  <c:v>20</c:v>
                </c:pt>
                <c:pt idx="31">
                  <c:v>26</c:v>
                </c:pt>
                <c:pt idx="32">
                  <c:v>20</c:v>
                </c:pt>
                <c:pt idx="33">
                  <c:v>12</c:v>
                </c:pt>
              </c:numCache>
            </c:numRef>
          </c:xVal>
          <c:yVal>
            <c:numRef>
              <c:f>'Simple LR Graphs Age'!$B$1:$B$35</c:f>
              <c:numCache>
                <c:formatCode>General</c:formatCode>
                <c:ptCount val="35"/>
                <c:pt idx="0">
                  <c:v>0</c:v>
                </c:pt>
                <c:pt idx="1">
                  <c:v>430</c:v>
                </c:pt>
                <c:pt idx="2" formatCode="#,##0">
                  <c:v>5728</c:v>
                </c:pt>
                <c:pt idx="3" formatCode="#,##0">
                  <c:v>7383</c:v>
                </c:pt>
                <c:pt idx="4" formatCode="#,##0">
                  <c:v>6848</c:v>
                </c:pt>
                <c:pt idx="5" formatCode="#,##0">
                  <c:v>6182</c:v>
                </c:pt>
                <c:pt idx="6" formatCode="#,##0">
                  <c:v>5975</c:v>
                </c:pt>
                <c:pt idx="7" formatCode="#,##0">
                  <c:v>5989</c:v>
                </c:pt>
                <c:pt idx="8" formatCode="#,##0">
                  <c:v>5820</c:v>
                </c:pt>
                <c:pt idx="9" formatCode="#,##0">
                  <c:v>5989</c:v>
                </c:pt>
                <c:pt idx="10" formatCode="#,##0">
                  <c:v>5867</c:v>
                </c:pt>
                <c:pt idx="11" formatCode="#,##0">
                  <c:v>6023</c:v>
                </c:pt>
                <c:pt idx="12" formatCode="#,##0">
                  <c:v>6562</c:v>
                </c:pt>
                <c:pt idx="13" formatCode="#,##0">
                  <c:v>6610</c:v>
                </c:pt>
                <c:pt idx="14" formatCode="#,##0">
                  <c:v>6218</c:v>
                </c:pt>
                <c:pt idx="15" formatCode="#,##0">
                  <c:v>6315</c:v>
                </c:pt>
                <c:pt idx="16" formatCode="#,##0">
                  <c:v>6733</c:v>
                </c:pt>
                <c:pt idx="17" formatCode="#,##0">
                  <c:v>6904</c:v>
                </c:pt>
                <c:pt idx="18" formatCode="#,##0">
                  <c:v>7005</c:v>
                </c:pt>
                <c:pt idx="19" formatCode="#,##0">
                  <c:v>6828</c:v>
                </c:pt>
                <c:pt idx="20" formatCode="#,##0">
                  <c:v>6631</c:v>
                </c:pt>
                <c:pt idx="21" formatCode="#,##0">
                  <c:v>6622</c:v>
                </c:pt>
                <c:pt idx="22" formatCode="#,##0">
                  <c:v>5957</c:v>
                </c:pt>
                <c:pt idx="23" formatCode="#,##0">
                  <c:v>5048</c:v>
                </c:pt>
                <c:pt idx="24" formatCode="#,##0">
                  <c:v>4569</c:v>
                </c:pt>
                <c:pt idx="25" formatCode="#,##0">
                  <c:v>4067</c:v>
                </c:pt>
                <c:pt idx="26" formatCode="#,##0">
                  <c:v>3804</c:v>
                </c:pt>
                <c:pt idx="27" formatCode="#,##0">
                  <c:v>3496</c:v>
                </c:pt>
                <c:pt idx="28" formatCode="#,##0">
                  <c:v>3104</c:v>
                </c:pt>
                <c:pt idx="29" formatCode="#,##0">
                  <c:v>2905</c:v>
                </c:pt>
                <c:pt idx="30" formatCode="#,##0">
                  <c:v>2571</c:v>
                </c:pt>
                <c:pt idx="31" formatCode="#,##0">
                  <c:v>2427</c:v>
                </c:pt>
                <c:pt idx="32" formatCode="#,##0">
                  <c:v>2123</c:v>
                </c:pt>
                <c:pt idx="33" formatCode="#,##0">
                  <c:v>1918</c:v>
                </c:pt>
                <c:pt idx="34" formatCode="#,##0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C6-1042-A3A0-55B60D4A6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43792"/>
        <c:axId val="477425632"/>
      </c:scatterChart>
      <c:valAx>
        <c:axId val="9663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65+ Year Old Living Donors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25632"/>
        <c:crosses val="autoZero"/>
        <c:crossBetween val="midCat"/>
      </c:valAx>
      <c:valAx>
        <c:axId val="47742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3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11-17</a:t>
            </a:r>
            <a:r>
              <a:rPr lang="en-US"/>
              <a:t> Year</a:t>
            </a:r>
            <a:r>
              <a:rPr lang="en-US" baseline="0"/>
              <a:t> Olds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LR Graphs Age'!$G$1</c:f>
              <c:strCache>
                <c:ptCount val="1"/>
                <c:pt idx="0">
                  <c:v>18-34 Years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3456117642828981E-2"/>
                  <c:y val="0.1513756368689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Age'!$F$2:$F$35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5</c:v>
                </c:pt>
                <c:pt idx="24">
                  <c:v>1</c:v>
                </c:pt>
                <c:pt idx="25">
                  <c:v>7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1</c:v>
                </c:pt>
                <c:pt idx="30">
                  <c:v>3</c:v>
                </c:pt>
                <c:pt idx="31">
                  <c:v>5</c:v>
                </c:pt>
                <c:pt idx="32">
                  <c:v>4</c:v>
                </c:pt>
                <c:pt idx="33">
                  <c:v>6</c:v>
                </c:pt>
              </c:numCache>
            </c:numRef>
          </c:xVal>
          <c:yVal>
            <c:numRef>
              <c:f>'Simple LR Graphs Age'!$B$1:$B$35</c:f>
              <c:numCache>
                <c:formatCode>General</c:formatCode>
                <c:ptCount val="35"/>
                <c:pt idx="0">
                  <c:v>0</c:v>
                </c:pt>
                <c:pt idx="1">
                  <c:v>430</c:v>
                </c:pt>
                <c:pt idx="2" formatCode="#,##0">
                  <c:v>5728</c:v>
                </c:pt>
                <c:pt idx="3" formatCode="#,##0">
                  <c:v>7383</c:v>
                </c:pt>
                <c:pt idx="4" formatCode="#,##0">
                  <c:v>6848</c:v>
                </c:pt>
                <c:pt idx="5" formatCode="#,##0">
                  <c:v>6182</c:v>
                </c:pt>
                <c:pt idx="6" formatCode="#,##0">
                  <c:v>5975</c:v>
                </c:pt>
                <c:pt idx="7" formatCode="#,##0">
                  <c:v>5989</c:v>
                </c:pt>
                <c:pt idx="8" formatCode="#,##0">
                  <c:v>5820</c:v>
                </c:pt>
                <c:pt idx="9" formatCode="#,##0">
                  <c:v>5989</c:v>
                </c:pt>
                <c:pt idx="10" formatCode="#,##0">
                  <c:v>5867</c:v>
                </c:pt>
                <c:pt idx="11" formatCode="#,##0">
                  <c:v>6023</c:v>
                </c:pt>
                <c:pt idx="12" formatCode="#,##0">
                  <c:v>6562</c:v>
                </c:pt>
                <c:pt idx="13" formatCode="#,##0">
                  <c:v>6610</c:v>
                </c:pt>
                <c:pt idx="14" formatCode="#,##0">
                  <c:v>6218</c:v>
                </c:pt>
                <c:pt idx="15" formatCode="#,##0">
                  <c:v>6315</c:v>
                </c:pt>
                <c:pt idx="16" formatCode="#,##0">
                  <c:v>6733</c:v>
                </c:pt>
                <c:pt idx="17" formatCode="#,##0">
                  <c:v>6904</c:v>
                </c:pt>
                <c:pt idx="18" formatCode="#,##0">
                  <c:v>7005</c:v>
                </c:pt>
                <c:pt idx="19" formatCode="#,##0">
                  <c:v>6828</c:v>
                </c:pt>
                <c:pt idx="20" formatCode="#,##0">
                  <c:v>6631</c:v>
                </c:pt>
                <c:pt idx="21" formatCode="#,##0">
                  <c:v>6622</c:v>
                </c:pt>
                <c:pt idx="22" formatCode="#,##0">
                  <c:v>5957</c:v>
                </c:pt>
                <c:pt idx="23" formatCode="#,##0">
                  <c:v>5048</c:v>
                </c:pt>
                <c:pt idx="24" formatCode="#,##0">
                  <c:v>4569</c:v>
                </c:pt>
                <c:pt idx="25" formatCode="#,##0">
                  <c:v>4067</c:v>
                </c:pt>
                <c:pt idx="26" formatCode="#,##0">
                  <c:v>3804</c:v>
                </c:pt>
                <c:pt idx="27" formatCode="#,##0">
                  <c:v>3496</c:v>
                </c:pt>
                <c:pt idx="28" formatCode="#,##0">
                  <c:v>3104</c:v>
                </c:pt>
                <c:pt idx="29" formatCode="#,##0">
                  <c:v>2905</c:v>
                </c:pt>
                <c:pt idx="30" formatCode="#,##0">
                  <c:v>2571</c:v>
                </c:pt>
                <c:pt idx="31" formatCode="#,##0">
                  <c:v>2427</c:v>
                </c:pt>
                <c:pt idx="32" formatCode="#,##0">
                  <c:v>2123</c:v>
                </c:pt>
                <c:pt idx="33" formatCode="#,##0">
                  <c:v>1918</c:v>
                </c:pt>
                <c:pt idx="34" formatCode="#,##0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41-AB41-B76C-561BD269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43792"/>
        <c:axId val="477425632"/>
      </c:scatterChart>
      <c:valAx>
        <c:axId val="9663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11-17 Year Old Living Donors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25632"/>
        <c:crosses val="autoZero"/>
        <c:crossBetween val="midCat"/>
      </c:valAx>
      <c:valAx>
        <c:axId val="47742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3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6-10</a:t>
            </a:r>
            <a:r>
              <a:rPr lang="en-US"/>
              <a:t> Year</a:t>
            </a:r>
            <a:r>
              <a:rPr lang="en-US" baseline="0"/>
              <a:t> Olds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LR Graphs Age'!$G$1</c:f>
              <c:strCache>
                <c:ptCount val="1"/>
                <c:pt idx="0">
                  <c:v>18-34 Years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3456117642828981E-2"/>
                  <c:y val="0.1513756368689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Age'!$E$2:$E$35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'Simple LR Graphs Age'!$B$1:$B$35</c:f>
              <c:numCache>
                <c:formatCode>General</c:formatCode>
                <c:ptCount val="35"/>
                <c:pt idx="0">
                  <c:v>0</c:v>
                </c:pt>
                <c:pt idx="1">
                  <c:v>430</c:v>
                </c:pt>
                <c:pt idx="2" formatCode="#,##0">
                  <c:v>5728</c:v>
                </c:pt>
                <c:pt idx="3" formatCode="#,##0">
                  <c:v>7383</c:v>
                </c:pt>
                <c:pt idx="4" formatCode="#,##0">
                  <c:v>6848</c:v>
                </c:pt>
                <c:pt idx="5" formatCode="#,##0">
                  <c:v>6182</c:v>
                </c:pt>
                <c:pt idx="6" formatCode="#,##0">
                  <c:v>5975</c:v>
                </c:pt>
                <c:pt idx="7" formatCode="#,##0">
                  <c:v>5989</c:v>
                </c:pt>
                <c:pt idx="8" formatCode="#,##0">
                  <c:v>5820</c:v>
                </c:pt>
                <c:pt idx="9" formatCode="#,##0">
                  <c:v>5989</c:v>
                </c:pt>
                <c:pt idx="10" formatCode="#,##0">
                  <c:v>5867</c:v>
                </c:pt>
                <c:pt idx="11" formatCode="#,##0">
                  <c:v>6023</c:v>
                </c:pt>
                <c:pt idx="12" formatCode="#,##0">
                  <c:v>6562</c:v>
                </c:pt>
                <c:pt idx="13" formatCode="#,##0">
                  <c:v>6610</c:v>
                </c:pt>
                <c:pt idx="14" formatCode="#,##0">
                  <c:v>6218</c:v>
                </c:pt>
                <c:pt idx="15" formatCode="#,##0">
                  <c:v>6315</c:v>
                </c:pt>
                <c:pt idx="16" formatCode="#,##0">
                  <c:v>6733</c:v>
                </c:pt>
                <c:pt idx="17" formatCode="#,##0">
                  <c:v>6904</c:v>
                </c:pt>
                <c:pt idx="18" formatCode="#,##0">
                  <c:v>7005</c:v>
                </c:pt>
                <c:pt idx="19" formatCode="#,##0">
                  <c:v>6828</c:v>
                </c:pt>
                <c:pt idx="20" formatCode="#,##0">
                  <c:v>6631</c:v>
                </c:pt>
                <c:pt idx="21" formatCode="#,##0">
                  <c:v>6622</c:v>
                </c:pt>
                <c:pt idx="22" formatCode="#,##0">
                  <c:v>5957</c:v>
                </c:pt>
                <c:pt idx="23" formatCode="#,##0">
                  <c:v>5048</c:v>
                </c:pt>
                <c:pt idx="24" formatCode="#,##0">
                  <c:v>4569</c:v>
                </c:pt>
                <c:pt idx="25" formatCode="#,##0">
                  <c:v>4067</c:v>
                </c:pt>
                <c:pt idx="26" formatCode="#,##0">
                  <c:v>3804</c:v>
                </c:pt>
                <c:pt idx="27" formatCode="#,##0">
                  <c:v>3496</c:v>
                </c:pt>
                <c:pt idx="28" formatCode="#,##0">
                  <c:v>3104</c:v>
                </c:pt>
                <c:pt idx="29" formatCode="#,##0">
                  <c:v>2905</c:v>
                </c:pt>
                <c:pt idx="30" formatCode="#,##0">
                  <c:v>2571</c:v>
                </c:pt>
                <c:pt idx="31" formatCode="#,##0">
                  <c:v>2427</c:v>
                </c:pt>
                <c:pt idx="32" formatCode="#,##0">
                  <c:v>2123</c:v>
                </c:pt>
                <c:pt idx="33" formatCode="#,##0">
                  <c:v>1918</c:v>
                </c:pt>
                <c:pt idx="34" formatCode="#,##0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2D-484A-9F54-74B665AE1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43792"/>
        <c:axId val="477425632"/>
      </c:scatterChart>
      <c:valAx>
        <c:axId val="9663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6-10 Year Old Living Donors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25632"/>
        <c:crosses val="autoZero"/>
        <c:crossBetween val="midCat"/>
      </c:valAx>
      <c:valAx>
        <c:axId val="47742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3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1-5</a:t>
            </a:r>
            <a:r>
              <a:rPr lang="en-US"/>
              <a:t> Year</a:t>
            </a:r>
            <a:r>
              <a:rPr lang="en-US" baseline="0"/>
              <a:t> Olds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LR Graphs Age'!$G$1</c:f>
              <c:strCache>
                <c:ptCount val="1"/>
                <c:pt idx="0">
                  <c:v>18-34 Years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2.6618847301621545E-3"/>
                  <c:y val="0.132328692477454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Age'!$D$2:$D$35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'Simple LR Graphs Age'!$B$1:$B$35</c:f>
              <c:numCache>
                <c:formatCode>General</c:formatCode>
                <c:ptCount val="35"/>
                <c:pt idx="0">
                  <c:v>0</c:v>
                </c:pt>
                <c:pt idx="1">
                  <c:v>430</c:v>
                </c:pt>
                <c:pt idx="2" formatCode="#,##0">
                  <c:v>5728</c:v>
                </c:pt>
                <c:pt idx="3" formatCode="#,##0">
                  <c:v>7383</c:v>
                </c:pt>
                <c:pt idx="4" formatCode="#,##0">
                  <c:v>6848</c:v>
                </c:pt>
                <c:pt idx="5" formatCode="#,##0">
                  <c:v>6182</c:v>
                </c:pt>
                <c:pt idx="6" formatCode="#,##0">
                  <c:v>5975</c:v>
                </c:pt>
                <c:pt idx="7" formatCode="#,##0">
                  <c:v>5989</c:v>
                </c:pt>
                <c:pt idx="8" formatCode="#,##0">
                  <c:v>5820</c:v>
                </c:pt>
                <c:pt idx="9" formatCode="#,##0">
                  <c:v>5989</c:v>
                </c:pt>
                <c:pt idx="10" formatCode="#,##0">
                  <c:v>5867</c:v>
                </c:pt>
                <c:pt idx="11" formatCode="#,##0">
                  <c:v>6023</c:v>
                </c:pt>
                <c:pt idx="12" formatCode="#,##0">
                  <c:v>6562</c:v>
                </c:pt>
                <c:pt idx="13" formatCode="#,##0">
                  <c:v>6610</c:v>
                </c:pt>
                <c:pt idx="14" formatCode="#,##0">
                  <c:v>6218</c:v>
                </c:pt>
                <c:pt idx="15" formatCode="#,##0">
                  <c:v>6315</c:v>
                </c:pt>
                <c:pt idx="16" formatCode="#,##0">
                  <c:v>6733</c:v>
                </c:pt>
                <c:pt idx="17" formatCode="#,##0">
                  <c:v>6904</c:v>
                </c:pt>
                <c:pt idx="18" formatCode="#,##0">
                  <c:v>7005</c:v>
                </c:pt>
                <c:pt idx="19" formatCode="#,##0">
                  <c:v>6828</c:v>
                </c:pt>
                <c:pt idx="20" formatCode="#,##0">
                  <c:v>6631</c:v>
                </c:pt>
                <c:pt idx="21" formatCode="#,##0">
                  <c:v>6622</c:v>
                </c:pt>
                <c:pt idx="22" formatCode="#,##0">
                  <c:v>5957</c:v>
                </c:pt>
                <c:pt idx="23" formatCode="#,##0">
                  <c:v>5048</c:v>
                </c:pt>
                <c:pt idx="24" formatCode="#,##0">
                  <c:v>4569</c:v>
                </c:pt>
                <c:pt idx="25" formatCode="#,##0">
                  <c:v>4067</c:v>
                </c:pt>
                <c:pt idx="26" formatCode="#,##0">
                  <c:v>3804</c:v>
                </c:pt>
                <c:pt idx="27" formatCode="#,##0">
                  <c:v>3496</c:v>
                </c:pt>
                <c:pt idx="28" formatCode="#,##0">
                  <c:v>3104</c:v>
                </c:pt>
                <c:pt idx="29" formatCode="#,##0">
                  <c:v>2905</c:v>
                </c:pt>
                <c:pt idx="30" formatCode="#,##0">
                  <c:v>2571</c:v>
                </c:pt>
                <c:pt idx="31" formatCode="#,##0">
                  <c:v>2427</c:v>
                </c:pt>
                <c:pt idx="32" formatCode="#,##0">
                  <c:v>2123</c:v>
                </c:pt>
                <c:pt idx="33" formatCode="#,##0">
                  <c:v>1918</c:v>
                </c:pt>
                <c:pt idx="34" formatCode="#,##0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5A-9A47-ACAE-81F009896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43792"/>
        <c:axId val="477425632"/>
      </c:scatterChart>
      <c:valAx>
        <c:axId val="9663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1-5 Year Old Living Donors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25632"/>
        <c:crosses val="autoZero"/>
        <c:crossBetween val="midCat"/>
      </c:valAx>
      <c:valAx>
        <c:axId val="47742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3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&lt; 1</a:t>
            </a:r>
            <a:r>
              <a:rPr lang="en-US"/>
              <a:t> Year</a:t>
            </a:r>
            <a:r>
              <a:rPr lang="en-US" baseline="0"/>
              <a:t> Olds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LR Graphs Age'!$G$1</c:f>
              <c:strCache>
                <c:ptCount val="1"/>
                <c:pt idx="0">
                  <c:v>18-34 Years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2.6618847301621545E-3"/>
                  <c:y val="0.132328692477454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Age'!$C$2:$C$35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'Simple LR Graphs Age'!$B$1:$B$35</c:f>
              <c:numCache>
                <c:formatCode>General</c:formatCode>
                <c:ptCount val="35"/>
                <c:pt idx="0">
                  <c:v>0</c:v>
                </c:pt>
                <c:pt idx="1">
                  <c:v>430</c:v>
                </c:pt>
                <c:pt idx="2" formatCode="#,##0">
                  <c:v>5728</c:v>
                </c:pt>
                <c:pt idx="3" formatCode="#,##0">
                  <c:v>7383</c:v>
                </c:pt>
                <c:pt idx="4" formatCode="#,##0">
                  <c:v>6848</c:v>
                </c:pt>
                <c:pt idx="5" formatCode="#,##0">
                  <c:v>6182</c:v>
                </c:pt>
                <c:pt idx="6" formatCode="#,##0">
                  <c:v>5975</c:v>
                </c:pt>
                <c:pt idx="7" formatCode="#,##0">
                  <c:v>5989</c:v>
                </c:pt>
                <c:pt idx="8" formatCode="#,##0">
                  <c:v>5820</c:v>
                </c:pt>
                <c:pt idx="9" formatCode="#,##0">
                  <c:v>5989</c:v>
                </c:pt>
                <c:pt idx="10" formatCode="#,##0">
                  <c:v>5867</c:v>
                </c:pt>
                <c:pt idx="11" formatCode="#,##0">
                  <c:v>6023</c:v>
                </c:pt>
                <c:pt idx="12" formatCode="#,##0">
                  <c:v>6562</c:v>
                </c:pt>
                <c:pt idx="13" formatCode="#,##0">
                  <c:v>6610</c:v>
                </c:pt>
                <c:pt idx="14" formatCode="#,##0">
                  <c:v>6218</c:v>
                </c:pt>
                <c:pt idx="15" formatCode="#,##0">
                  <c:v>6315</c:v>
                </c:pt>
                <c:pt idx="16" formatCode="#,##0">
                  <c:v>6733</c:v>
                </c:pt>
                <c:pt idx="17" formatCode="#,##0">
                  <c:v>6904</c:v>
                </c:pt>
                <c:pt idx="18" formatCode="#,##0">
                  <c:v>7005</c:v>
                </c:pt>
                <c:pt idx="19" formatCode="#,##0">
                  <c:v>6828</c:v>
                </c:pt>
                <c:pt idx="20" formatCode="#,##0">
                  <c:v>6631</c:v>
                </c:pt>
                <c:pt idx="21" formatCode="#,##0">
                  <c:v>6622</c:v>
                </c:pt>
                <c:pt idx="22" formatCode="#,##0">
                  <c:v>5957</c:v>
                </c:pt>
                <c:pt idx="23" formatCode="#,##0">
                  <c:v>5048</c:v>
                </c:pt>
                <c:pt idx="24" formatCode="#,##0">
                  <c:v>4569</c:v>
                </c:pt>
                <c:pt idx="25" formatCode="#,##0">
                  <c:v>4067</c:v>
                </c:pt>
                <c:pt idx="26" formatCode="#,##0">
                  <c:v>3804</c:v>
                </c:pt>
                <c:pt idx="27" formatCode="#,##0">
                  <c:v>3496</c:v>
                </c:pt>
                <c:pt idx="28" formatCode="#,##0">
                  <c:v>3104</c:v>
                </c:pt>
                <c:pt idx="29" formatCode="#,##0">
                  <c:v>2905</c:v>
                </c:pt>
                <c:pt idx="30" formatCode="#,##0">
                  <c:v>2571</c:v>
                </c:pt>
                <c:pt idx="31" formatCode="#,##0">
                  <c:v>2427</c:v>
                </c:pt>
                <c:pt idx="32" formatCode="#,##0">
                  <c:v>2123</c:v>
                </c:pt>
                <c:pt idx="33" formatCode="#,##0">
                  <c:v>1918</c:v>
                </c:pt>
                <c:pt idx="34" formatCode="#,##0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A4-7443-AB81-BE7D9D4ED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43792"/>
        <c:axId val="477425632"/>
      </c:scatterChart>
      <c:valAx>
        <c:axId val="9663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&lt; 1 Year Old Living Donors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25632"/>
        <c:crosses val="autoZero"/>
        <c:crossBetween val="midCat"/>
      </c:valAx>
      <c:valAx>
        <c:axId val="47742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3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Male Living Donors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4.1357353550620417E-2"/>
                  <c:y val="0.274621857834780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Gender'!$K$2:$K$35</c:f>
              <c:numCache>
                <c:formatCode>General</c:formatCode>
                <c:ptCount val="34"/>
                <c:pt idx="0">
                  <c:v>158</c:v>
                </c:pt>
                <c:pt idx="1">
                  <c:v>2032</c:v>
                </c:pt>
                <c:pt idx="2">
                  <c:v>2638</c:v>
                </c:pt>
                <c:pt idx="3">
                  <c:v>2538</c:v>
                </c:pt>
                <c:pt idx="4">
                  <c:v>2322</c:v>
                </c:pt>
                <c:pt idx="5">
                  <c:v>2221</c:v>
                </c:pt>
                <c:pt idx="6">
                  <c:v>2235</c:v>
                </c:pt>
                <c:pt idx="7">
                  <c:v>2190</c:v>
                </c:pt>
                <c:pt idx="8">
                  <c:v>2336</c:v>
                </c:pt>
                <c:pt idx="9">
                  <c:v>2224</c:v>
                </c:pt>
                <c:pt idx="10">
                  <c:v>2339</c:v>
                </c:pt>
                <c:pt idx="11">
                  <c:v>2492</c:v>
                </c:pt>
                <c:pt idx="12">
                  <c:v>2617</c:v>
                </c:pt>
                <c:pt idx="13">
                  <c:v>2477</c:v>
                </c:pt>
                <c:pt idx="14">
                  <c:v>2673</c:v>
                </c:pt>
                <c:pt idx="15">
                  <c:v>2777</c:v>
                </c:pt>
                <c:pt idx="16">
                  <c:v>2825</c:v>
                </c:pt>
                <c:pt idx="17">
                  <c:v>2980</c:v>
                </c:pt>
                <c:pt idx="18">
                  <c:v>2844</c:v>
                </c:pt>
                <c:pt idx="19">
                  <c:v>2802</c:v>
                </c:pt>
                <c:pt idx="20">
                  <c:v>2796</c:v>
                </c:pt>
                <c:pt idx="21">
                  <c:v>2608</c:v>
                </c:pt>
                <c:pt idx="22">
                  <c:v>2161</c:v>
                </c:pt>
                <c:pt idx="23">
                  <c:v>1943</c:v>
                </c:pt>
                <c:pt idx="24">
                  <c:v>1756</c:v>
                </c:pt>
                <c:pt idx="25">
                  <c:v>1591</c:v>
                </c:pt>
                <c:pt idx="26">
                  <c:v>1479</c:v>
                </c:pt>
                <c:pt idx="27">
                  <c:v>1378</c:v>
                </c:pt>
                <c:pt idx="28">
                  <c:v>1265</c:v>
                </c:pt>
                <c:pt idx="29">
                  <c:v>1133</c:v>
                </c:pt>
                <c:pt idx="30">
                  <c:v>1078</c:v>
                </c:pt>
                <c:pt idx="31">
                  <c:v>940</c:v>
                </c:pt>
                <c:pt idx="32">
                  <c:v>872</c:v>
                </c:pt>
                <c:pt idx="33">
                  <c:v>826</c:v>
                </c:pt>
              </c:numCache>
            </c:numRef>
          </c:xVal>
          <c:yVal>
            <c:numRef>
              <c:f>'Simple LR Graphs Gender'!$B$2:$B$35</c:f>
              <c:numCache>
                <c:formatCode>#,##0</c:formatCode>
                <c:ptCount val="34"/>
                <c:pt idx="0" formatCode="General">
                  <c:v>430</c:v>
                </c:pt>
                <c:pt idx="1">
                  <c:v>5728</c:v>
                </c:pt>
                <c:pt idx="2">
                  <c:v>7383</c:v>
                </c:pt>
                <c:pt idx="3">
                  <c:v>6848</c:v>
                </c:pt>
                <c:pt idx="4">
                  <c:v>6182</c:v>
                </c:pt>
                <c:pt idx="5">
                  <c:v>5975</c:v>
                </c:pt>
                <c:pt idx="6">
                  <c:v>5989</c:v>
                </c:pt>
                <c:pt idx="7">
                  <c:v>5820</c:v>
                </c:pt>
                <c:pt idx="8">
                  <c:v>5989</c:v>
                </c:pt>
                <c:pt idx="9">
                  <c:v>5867</c:v>
                </c:pt>
                <c:pt idx="10">
                  <c:v>6023</c:v>
                </c:pt>
                <c:pt idx="11">
                  <c:v>6562</c:v>
                </c:pt>
                <c:pt idx="12">
                  <c:v>6610</c:v>
                </c:pt>
                <c:pt idx="13">
                  <c:v>6218</c:v>
                </c:pt>
                <c:pt idx="14">
                  <c:v>6315</c:v>
                </c:pt>
                <c:pt idx="15">
                  <c:v>6733</c:v>
                </c:pt>
                <c:pt idx="16">
                  <c:v>6904</c:v>
                </c:pt>
                <c:pt idx="17">
                  <c:v>7005</c:v>
                </c:pt>
                <c:pt idx="18">
                  <c:v>6828</c:v>
                </c:pt>
                <c:pt idx="19">
                  <c:v>6631</c:v>
                </c:pt>
                <c:pt idx="20">
                  <c:v>6622</c:v>
                </c:pt>
                <c:pt idx="21">
                  <c:v>5957</c:v>
                </c:pt>
                <c:pt idx="22">
                  <c:v>5048</c:v>
                </c:pt>
                <c:pt idx="23">
                  <c:v>4569</c:v>
                </c:pt>
                <c:pt idx="24">
                  <c:v>4067</c:v>
                </c:pt>
                <c:pt idx="25">
                  <c:v>3804</c:v>
                </c:pt>
                <c:pt idx="26">
                  <c:v>3496</c:v>
                </c:pt>
                <c:pt idx="27">
                  <c:v>3104</c:v>
                </c:pt>
                <c:pt idx="28">
                  <c:v>2905</c:v>
                </c:pt>
                <c:pt idx="29">
                  <c:v>2571</c:v>
                </c:pt>
                <c:pt idx="30">
                  <c:v>2427</c:v>
                </c:pt>
                <c:pt idx="31">
                  <c:v>2123</c:v>
                </c:pt>
                <c:pt idx="32">
                  <c:v>1918</c:v>
                </c:pt>
                <c:pt idx="33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03-CB4D-B5F8-B9156F2C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04144"/>
        <c:axId val="499264448"/>
      </c:scatterChart>
      <c:valAx>
        <c:axId val="47340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Male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4448"/>
        <c:crosses val="autoZero"/>
        <c:crossBetween val="midCat"/>
      </c:valAx>
      <c:valAx>
        <c:axId val="49926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0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Living Donors vs. Female Living Donors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4.1357353550620417E-2"/>
                  <c:y val="0.274621857834780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LR Graphs Gender'!$L$2:$L$35</c:f>
              <c:numCache>
                <c:formatCode>General</c:formatCode>
                <c:ptCount val="34"/>
                <c:pt idx="0">
                  <c:v>272</c:v>
                </c:pt>
                <c:pt idx="1">
                  <c:v>3696</c:v>
                </c:pt>
                <c:pt idx="2">
                  <c:v>4745</c:v>
                </c:pt>
                <c:pt idx="3">
                  <c:v>4310</c:v>
                </c:pt>
                <c:pt idx="4">
                  <c:v>3860</c:v>
                </c:pt>
                <c:pt idx="5">
                  <c:v>3754</c:v>
                </c:pt>
                <c:pt idx="6">
                  <c:v>3754</c:v>
                </c:pt>
                <c:pt idx="7">
                  <c:v>3630</c:v>
                </c:pt>
                <c:pt idx="8">
                  <c:v>3653</c:v>
                </c:pt>
                <c:pt idx="9">
                  <c:v>3643</c:v>
                </c:pt>
                <c:pt idx="10">
                  <c:v>3684</c:v>
                </c:pt>
                <c:pt idx="11">
                  <c:v>4070</c:v>
                </c:pt>
                <c:pt idx="12">
                  <c:v>3993</c:v>
                </c:pt>
                <c:pt idx="13">
                  <c:v>3741</c:v>
                </c:pt>
                <c:pt idx="14">
                  <c:v>3642</c:v>
                </c:pt>
                <c:pt idx="15">
                  <c:v>3956</c:v>
                </c:pt>
                <c:pt idx="16">
                  <c:v>4079</c:v>
                </c:pt>
                <c:pt idx="17">
                  <c:v>4025</c:v>
                </c:pt>
                <c:pt idx="18">
                  <c:v>3984</c:v>
                </c:pt>
                <c:pt idx="19">
                  <c:v>3829</c:v>
                </c:pt>
                <c:pt idx="20">
                  <c:v>3826</c:v>
                </c:pt>
                <c:pt idx="21">
                  <c:v>3349</c:v>
                </c:pt>
                <c:pt idx="22">
                  <c:v>2886</c:v>
                </c:pt>
                <c:pt idx="23">
                  <c:v>2626</c:v>
                </c:pt>
                <c:pt idx="24">
                  <c:v>2311</c:v>
                </c:pt>
                <c:pt idx="25">
                  <c:v>2213</c:v>
                </c:pt>
                <c:pt idx="26">
                  <c:v>2017</c:v>
                </c:pt>
                <c:pt idx="27">
                  <c:v>1726</c:v>
                </c:pt>
                <c:pt idx="28">
                  <c:v>1640</c:v>
                </c:pt>
                <c:pt idx="29">
                  <c:v>1438</c:v>
                </c:pt>
                <c:pt idx="30">
                  <c:v>1349</c:v>
                </c:pt>
                <c:pt idx="31">
                  <c:v>1183</c:v>
                </c:pt>
                <c:pt idx="32">
                  <c:v>1046</c:v>
                </c:pt>
                <c:pt idx="33">
                  <c:v>1003</c:v>
                </c:pt>
              </c:numCache>
            </c:numRef>
          </c:xVal>
          <c:yVal>
            <c:numRef>
              <c:f>'Simple LR Graphs Gender'!$B$2:$B$35</c:f>
              <c:numCache>
                <c:formatCode>#,##0</c:formatCode>
                <c:ptCount val="34"/>
                <c:pt idx="0" formatCode="General">
                  <c:v>430</c:v>
                </c:pt>
                <c:pt idx="1">
                  <c:v>5728</c:v>
                </c:pt>
                <c:pt idx="2">
                  <c:v>7383</c:v>
                </c:pt>
                <c:pt idx="3">
                  <c:v>6848</c:v>
                </c:pt>
                <c:pt idx="4">
                  <c:v>6182</c:v>
                </c:pt>
                <c:pt idx="5">
                  <c:v>5975</c:v>
                </c:pt>
                <c:pt idx="6">
                  <c:v>5989</c:v>
                </c:pt>
                <c:pt idx="7">
                  <c:v>5820</c:v>
                </c:pt>
                <c:pt idx="8">
                  <c:v>5989</c:v>
                </c:pt>
                <c:pt idx="9">
                  <c:v>5867</c:v>
                </c:pt>
                <c:pt idx="10">
                  <c:v>6023</c:v>
                </c:pt>
                <c:pt idx="11">
                  <c:v>6562</c:v>
                </c:pt>
                <c:pt idx="12">
                  <c:v>6610</c:v>
                </c:pt>
                <c:pt idx="13">
                  <c:v>6218</c:v>
                </c:pt>
                <c:pt idx="14">
                  <c:v>6315</c:v>
                </c:pt>
                <c:pt idx="15">
                  <c:v>6733</c:v>
                </c:pt>
                <c:pt idx="16">
                  <c:v>6904</c:v>
                </c:pt>
                <c:pt idx="17">
                  <c:v>7005</c:v>
                </c:pt>
                <c:pt idx="18">
                  <c:v>6828</c:v>
                </c:pt>
                <c:pt idx="19">
                  <c:v>6631</c:v>
                </c:pt>
                <c:pt idx="20">
                  <c:v>6622</c:v>
                </c:pt>
                <c:pt idx="21">
                  <c:v>5957</c:v>
                </c:pt>
                <c:pt idx="22">
                  <c:v>5048</c:v>
                </c:pt>
                <c:pt idx="23">
                  <c:v>4569</c:v>
                </c:pt>
                <c:pt idx="24">
                  <c:v>4067</c:v>
                </c:pt>
                <c:pt idx="25">
                  <c:v>3804</c:v>
                </c:pt>
                <c:pt idx="26">
                  <c:v>3496</c:v>
                </c:pt>
                <c:pt idx="27">
                  <c:v>3104</c:v>
                </c:pt>
                <c:pt idx="28">
                  <c:v>2905</c:v>
                </c:pt>
                <c:pt idx="29">
                  <c:v>2571</c:v>
                </c:pt>
                <c:pt idx="30">
                  <c:v>2427</c:v>
                </c:pt>
                <c:pt idx="31">
                  <c:v>2123</c:v>
                </c:pt>
                <c:pt idx="32">
                  <c:v>1918</c:v>
                </c:pt>
                <c:pt idx="33">
                  <c:v>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F7-A24F-B702-79D9FF89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04144"/>
        <c:axId val="499264448"/>
      </c:scatterChart>
      <c:valAx>
        <c:axId val="47340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Female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4448"/>
        <c:crosses val="autoZero"/>
        <c:crossBetween val="midCat"/>
      </c:valAx>
      <c:valAx>
        <c:axId val="49926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Number of Living Donors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0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635000</xdr:colOff>
      <xdr:row>1</xdr:row>
      <xdr:rowOff>25400</xdr:rowOff>
    </xdr:from>
    <xdr:to>
      <xdr:col>24</xdr:col>
      <xdr:colOff>419100</xdr:colOff>
      <xdr:row>19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2268831-240A-8A44-B0EA-9B71586FC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495300</xdr:colOff>
      <xdr:row>20</xdr:row>
      <xdr:rowOff>25400</xdr:rowOff>
    </xdr:from>
    <xdr:to>
      <xdr:col>24</xdr:col>
      <xdr:colOff>279400</xdr:colOff>
      <xdr:row>38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1EA8253-817C-044C-AC7B-F5E9EA6C9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431800</xdr:colOff>
      <xdr:row>39</xdr:row>
      <xdr:rowOff>88900</xdr:rowOff>
    </xdr:from>
    <xdr:to>
      <xdr:col>24</xdr:col>
      <xdr:colOff>215900</xdr:colOff>
      <xdr:row>57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2AE243D-0731-DE4C-B5D2-2E6409205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711200</xdr:colOff>
      <xdr:row>58</xdr:row>
      <xdr:rowOff>63500</xdr:rowOff>
    </xdr:from>
    <xdr:to>
      <xdr:col>24</xdr:col>
      <xdr:colOff>495300</xdr:colOff>
      <xdr:row>76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61A741D-2B7B-3540-9604-C608101F8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304800</xdr:colOff>
      <xdr:row>58</xdr:row>
      <xdr:rowOff>190500</xdr:rowOff>
    </xdr:from>
    <xdr:to>
      <xdr:col>17</xdr:col>
      <xdr:colOff>88900</xdr:colOff>
      <xdr:row>77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18ECAD8-1D68-0B41-A6CA-F0D882B2A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177800</xdr:colOff>
      <xdr:row>39</xdr:row>
      <xdr:rowOff>101600</xdr:rowOff>
    </xdr:from>
    <xdr:to>
      <xdr:col>16</xdr:col>
      <xdr:colOff>787400</xdr:colOff>
      <xdr:row>57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A565975-0290-A54A-BA46-241414EAD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228600</xdr:colOff>
      <xdr:row>20</xdr:row>
      <xdr:rowOff>25400</xdr:rowOff>
    </xdr:from>
    <xdr:to>
      <xdr:col>17</xdr:col>
      <xdr:colOff>12700</xdr:colOff>
      <xdr:row>38</xdr:row>
      <xdr:rowOff>38100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0D357A9-6E95-F742-9F9C-771695710E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342900</xdr:colOff>
      <xdr:row>1</xdr:row>
      <xdr:rowOff>25400</xdr:rowOff>
    </xdr:from>
    <xdr:to>
      <xdr:col>17</xdr:col>
      <xdr:colOff>127000</xdr:colOff>
      <xdr:row>19</xdr:row>
      <xdr:rowOff>38100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339B3F8D-F240-1345-8CBB-CCEE92E84B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349250</xdr:colOff>
      <xdr:row>1</xdr:row>
      <xdr:rowOff>127000</xdr:rowOff>
    </xdr:from>
    <xdr:to>
      <xdr:col>19</xdr:col>
      <xdr:colOff>723900</xdr:colOff>
      <xdr:row>19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91B142-2777-F344-88F6-FFF2B714F7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342900</xdr:colOff>
      <xdr:row>21</xdr:row>
      <xdr:rowOff>0</xdr:rowOff>
    </xdr:from>
    <xdr:to>
      <xdr:col>19</xdr:col>
      <xdr:colOff>717550</xdr:colOff>
      <xdr:row>39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1E37BD-96F2-A448-9704-26608B4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ving_Donors_Recovered_in_the_U.S._by_Donor_Gender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ving_Donors_Recovered_in_the_"/>
      <sheetName val="Columns"/>
    </sheetNames>
    <sheetDataSet>
      <sheetData sheetId="0"/>
      <sheetData sheetId="1">
        <row r="1">
          <cell r="A1" t="str">
            <v>Date</v>
          </cell>
          <cell r="B1" t="str">
            <v>All Genders</v>
          </cell>
          <cell r="C1" t="str">
            <v>Male</v>
          </cell>
          <cell r="D1" t="str">
            <v>Female</v>
          </cell>
        </row>
        <row r="2">
          <cell r="A2">
            <v>2021</v>
          </cell>
          <cell r="B2">
            <v>430</v>
          </cell>
          <cell r="C2">
            <v>158</v>
          </cell>
          <cell r="D2">
            <v>272</v>
          </cell>
        </row>
        <row r="3">
          <cell r="A3">
            <v>2020</v>
          </cell>
          <cell r="B3">
            <v>5728</v>
          </cell>
          <cell r="C3">
            <v>2032</v>
          </cell>
          <cell r="D3">
            <v>3696</v>
          </cell>
        </row>
        <row r="4">
          <cell r="A4">
            <v>2019</v>
          </cell>
          <cell r="B4">
            <v>7383</v>
          </cell>
          <cell r="C4">
            <v>2638</v>
          </cell>
          <cell r="D4">
            <v>4745</v>
          </cell>
        </row>
        <row r="5">
          <cell r="A5">
            <v>2018</v>
          </cell>
          <cell r="B5">
            <v>6848</v>
          </cell>
          <cell r="C5">
            <v>2538</v>
          </cell>
          <cell r="D5">
            <v>4310</v>
          </cell>
        </row>
        <row r="6">
          <cell r="A6">
            <v>2017</v>
          </cell>
          <cell r="B6">
            <v>6182</v>
          </cell>
          <cell r="C6">
            <v>2322</v>
          </cell>
          <cell r="D6">
            <v>3860</v>
          </cell>
        </row>
        <row r="7">
          <cell r="A7">
            <v>2016</v>
          </cell>
          <cell r="B7">
            <v>5975</v>
          </cell>
          <cell r="C7">
            <v>2221</v>
          </cell>
          <cell r="D7">
            <v>3754</v>
          </cell>
        </row>
        <row r="8">
          <cell r="A8">
            <v>2015</v>
          </cell>
          <cell r="B8">
            <v>5989</v>
          </cell>
          <cell r="C8">
            <v>2235</v>
          </cell>
          <cell r="D8">
            <v>3754</v>
          </cell>
        </row>
        <row r="9">
          <cell r="A9">
            <v>2014</v>
          </cell>
          <cell r="B9">
            <v>5820</v>
          </cell>
          <cell r="C9">
            <v>2190</v>
          </cell>
          <cell r="D9">
            <v>3630</v>
          </cell>
        </row>
        <row r="10">
          <cell r="A10">
            <v>2013</v>
          </cell>
          <cell r="B10">
            <v>5989</v>
          </cell>
          <cell r="C10">
            <v>2336</v>
          </cell>
          <cell r="D10">
            <v>3653</v>
          </cell>
        </row>
        <row r="11">
          <cell r="A11">
            <v>2012</v>
          </cell>
          <cell r="B11">
            <v>5867</v>
          </cell>
          <cell r="C11">
            <v>2224</v>
          </cell>
          <cell r="D11">
            <v>3643</v>
          </cell>
        </row>
        <row r="12">
          <cell r="A12">
            <v>2011</v>
          </cell>
          <cell r="B12">
            <v>6023</v>
          </cell>
          <cell r="C12">
            <v>2339</v>
          </cell>
          <cell r="D12">
            <v>3684</v>
          </cell>
        </row>
        <row r="13">
          <cell r="A13">
            <v>2010</v>
          </cell>
          <cell r="B13">
            <v>6562</v>
          </cell>
          <cell r="C13">
            <v>2492</v>
          </cell>
          <cell r="D13">
            <v>4070</v>
          </cell>
        </row>
        <row r="14">
          <cell r="A14">
            <v>2009</v>
          </cell>
          <cell r="B14">
            <v>6610</v>
          </cell>
          <cell r="C14">
            <v>2617</v>
          </cell>
          <cell r="D14">
            <v>3993</v>
          </cell>
        </row>
        <row r="15">
          <cell r="A15">
            <v>2008</v>
          </cell>
          <cell r="B15">
            <v>6218</v>
          </cell>
          <cell r="C15">
            <v>2477</v>
          </cell>
          <cell r="D15">
            <v>3741</v>
          </cell>
        </row>
        <row r="16">
          <cell r="A16">
            <v>2007</v>
          </cell>
          <cell r="B16">
            <v>6315</v>
          </cell>
          <cell r="C16">
            <v>2673</v>
          </cell>
          <cell r="D16">
            <v>3642</v>
          </cell>
        </row>
        <row r="17">
          <cell r="A17">
            <v>2006</v>
          </cell>
          <cell r="B17">
            <v>6733</v>
          </cell>
          <cell r="C17">
            <v>2777</v>
          </cell>
          <cell r="D17">
            <v>3956</v>
          </cell>
        </row>
        <row r="18">
          <cell r="A18">
            <v>2005</v>
          </cell>
          <cell r="B18">
            <v>6904</v>
          </cell>
          <cell r="C18">
            <v>2825</v>
          </cell>
          <cell r="D18">
            <v>4079</v>
          </cell>
        </row>
        <row r="19">
          <cell r="A19">
            <v>2004</v>
          </cell>
          <cell r="B19">
            <v>7005</v>
          </cell>
          <cell r="C19">
            <v>2980</v>
          </cell>
          <cell r="D19">
            <v>4025</v>
          </cell>
        </row>
        <row r="20">
          <cell r="A20">
            <v>2003</v>
          </cell>
          <cell r="B20">
            <v>6828</v>
          </cell>
          <cell r="C20">
            <v>2844</v>
          </cell>
          <cell r="D20">
            <v>3984</v>
          </cell>
        </row>
        <row r="21">
          <cell r="A21">
            <v>2002</v>
          </cell>
          <cell r="B21">
            <v>6631</v>
          </cell>
          <cell r="C21">
            <v>2802</v>
          </cell>
          <cell r="D21">
            <v>3829</v>
          </cell>
        </row>
        <row r="22">
          <cell r="A22">
            <v>2001</v>
          </cell>
          <cell r="B22">
            <v>6622</v>
          </cell>
          <cell r="C22">
            <v>2796</v>
          </cell>
          <cell r="D22">
            <v>3826</v>
          </cell>
        </row>
        <row r="23">
          <cell r="A23">
            <v>2000</v>
          </cell>
          <cell r="B23">
            <v>5957</v>
          </cell>
          <cell r="C23">
            <v>2608</v>
          </cell>
          <cell r="D23">
            <v>3349</v>
          </cell>
        </row>
        <row r="24">
          <cell r="A24">
            <v>1999</v>
          </cell>
          <cell r="B24">
            <v>5048</v>
          </cell>
          <cell r="C24">
            <v>2161</v>
          </cell>
          <cell r="D24">
            <v>2886</v>
          </cell>
        </row>
        <row r="25">
          <cell r="A25">
            <v>1998</v>
          </cell>
          <cell r="B25">
            <v>4569</v>
          </cell>
          <cell r="C25">
            <v>1943</v>
          </cell>
          <cell r="D25">
            <v>2626</v>
          </cell>
        </row>
        <row r="26">
          <cell r="A26">
            <v>1997</v>
          </cell>
          <cell r="B26">
            <v>4067</v>
          </cell>
          <cell r="C26">
            <v>1756</v>
          </cell>
          <cell r="D26">
            <v>2311</v>
          </cell>
        </row>
        <row r="27">
          <cell r="A27">
            <v>1996</v>
          </cell>
          <cell r="B27">
            <v>3804</v>
          </cell>
          <cell r="C27">
            <v>1591</v>
          </cell>
          <cell r="D27">
            <v>2213</v>
          </cell>
        </row>
        <row r="28">
          <cell r="A28">
            <v>1995</v>
          </cell>
          <cell r="B28">
            <v>3496</v>
          </cell>
          <cell r="C28">
            <v>1479</v>
          </cell>
          <cell r="D28">
            <v>2017</v>
          </cell>
        </row>
        <row r="29">
          <cell r="A29">
            <v>1994</v>
          </cell>
          <cell r="B29">
            <v>3104</v>
          </cell>
          <cell r="C29">
            <v>1378</v>
          </cell>
          <cell r="D29">
            <v>1726</v>
          </cell>
        </row>
        <row r="30">
          <cell r="A30">
            <v>1993</v>
          </cell>
          <cell r="B30">
            <v>2905</v>
          </cell>
          <cell r="C30">
            <v>1265</v>
          </cell>
          <cell r="D30">
            <v>1640</v>
          </cell>
        </row>
        <row r="31">
          <cell r="A31">
            <v>1992</v>
          </cell>
          <cell r="B31">
            <v>2571</v>
          </cell>
          <cell r="C31">
            <v>1133</v>
          </cell>
          <cell r="D31">
            <v>1438</v>
          </cell>
        </row>
        <row r="32">
          <cell r="A32">
            <v>1991</v>
          </cell>
          <cell r="B32">
            <v>2427</v>
          </cell>
          <cell r="C32">
            <v>1078</v>
          </cell>
          <cell r="D32">
            <v>1349</v>
          </cell>
        </row>
        <row r="33">
          <cell r="A33">
            <v>1990</v>
          </cell>
          <cell r="B33">
            <v>2123</v>
          </cell>
          <cell r="C33">
            <v>940</v>
          </cell>
          <cell r="D33">
            <v>1183</v>
          </cell>
        </row>
        <row r="34">
          <cell r="A34">
            <v>1989</v>
          </cell>
          <cell r="B34">
            <v>1918</v>
          </cell>
          <cell r="C34">
            <v>872</v>
          </cell>
          <cell r="D34">
            <v>1046</v>
          </cell>
        </row>
        <row r="35">
          <cell r="A35">
            <v>1988</v>
          </cell>
          <cell r="B35">
            <v>1829</v>
          </cell>
          <cell r="C35">
            <v>826</v>
          </cell>
          <cell r="D35">
            <v>1003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non Powelson" refreshedDate="44259.031113888886" createdVersion="6" refreshedVersion="6" minRefreshableVersion="3" recordCount="10" xr:uid="{AD50B47F-DC3E-544D-A4B1-EF08346C62A0}">
  <cacheSource type="worksheet">
    <worksheetSource ref="A1:D11" sheet="Chart"/>
  </cacheSource>
  <cacheFields count="4">
    <cacheField name="Independent Variable " numFmtId="0">
      <sharedItems count="10">
        <s v="&lt; 1 Year"/>
        <s v="1-5 Years"/>
        <s v="6-10 Years"/>
        <s v="11-17 Years"/>
        <s v="18-34 Years"/>
        <s v="35-49 Years"/>
        <s v="50-64 Years"/>
        <s v="65 +"/>
        <s v="Male"/>
        <s v="Female"/>
      </sharedItems>
    </cacheField>
    <cacheField name="Coefficients" numFmtId="0">
      <sharedItems containsSemiMixedTypes="0" containsString="0" containsNumber="1" minValue="-5.8240492281743474E-2" maxValue="1.0279914934585535" count="10">
        <n v="-4.7263201935498191E-2"/>
        <n v="-4.0956931031983571E-2"/>
        <n v="-2.3645109107137307E-2"/>
        <n v="-5.8240492281743474E-2"/>
        <n v="-2.7906323379453236E-2"/>
        <n v="-2.7829732838690426E-2"/>
        <n v="-2.8094475175596517E-2"/>
        <n v="-2.8123863299978822E-2"/>
        <n v="1.0277828151749884"/>
        <n v="1.0279914934585535"/>
      </sharedItems>
    </cacheField>
    <cacheField name="Standard Error" numFmtId="0">
      <sharedItems containsSemiMixedTypes="0" containsString="0" containsNumber="1" minValue="2.5580832143843851E-2" maxValue="0.14625982107791219" count="10">
        <n v="0.10273166455847464"/>
        <n v="0.14625982107791219"/>
        <n v="8.7131199082621319E-2"/>
        <n v="3.6945238296572001E-2"/>
        <n v="2.5613424312326466E-2"/>
        <n v="2.5616514245207722E-2"/>
        <n v="2.5597118284415629E-2"/>
        <n v="2.5954103012462953E-2"/>
        <n v="2.5580832143843851E-2"/>
        <n v="2.5638318783622688E-2"/>
      </sharedItems>
    </cacheField>
    <cacheField name="P-Value" numFmtId="0">
      <sharedItems containsSemiMixedTypes="0" containsString="0" containsNumber="1" minValue="8.2547000000000002E-23" maxValue="0.78852453" count="10">
        <n v="0.64978955999999999"/>
        <n v="0.78195868999999996"/>
        <n v="0.78852453"/>
        <n v="0.12858974000000001"/>
        <n v="0.28720909999999999"/>
        <n v="0.28855815000000001"/>
        <n v="0.28375313000000002"/>
        <n v="0.28977143"/>
        <n v="8.2547000000000002E-23"/>
        <n v="8.6460999999999999E-2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non Powelson" refreshedDate="44259.06876076389" createdVersion="6" refreshedVersion="6" minRefreshableVersion="3" recordCount="10" xr:uid="{26C0D7C1-C805-7C4B-A60B-DB6F13148102}">
  <cacheSource type="worksheet">
    <worksheetSource ref="A1:B11" sheet="Chart4"/>
  </cacheSource>
  <cacheFields count="2">
    <cacheField name="Independent Variable" numFmtId="0">
      <sharedItems count="10">
        <s v="&lt; 1 Year"/>
        <s v="1-5 Years"/>
        <s v="6-10 Years"/>
        <s v="11-17 Years"/>
        <s v="18-34 Years"/>
        <s v="35-49 Years"/>
        <s v="50-64 Years"/>
        <s v="65 +"/>
        <s v="Male"/>
        <s v="Female"/>
      </sharedItems>
    </cacheField>
    <cacheField name="R-Squared" numFmtId="0">
      <sharedItems containsSemiMixedTypes="0" containsString="0" containsNumber="1" minValue="5.9999999999999995E-4" maxValue="0.98770000000000002" count="10">
        <n v="1.29E-2"/>
        <n v="5.9999999999999995E-4"/>
        <n v="3.8800000000000001E-2"/>
        <n v="0.16819999999999999"/>
        <n v="0.77849999999999997"/>
        <n v="0.78869999999999996"/>
        <n v="0.50380000000000003"/>
        <n v="7.5499999999999998E-2"/>
        <n v="0.96660000000000001"/>
        <n v="0.987700000000000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x v="0"/>
  </r>
  <r>
    <x v="1"/>
    <x v="1"/>
    <x v="1"/>
    <x v="1"/>
  </r>
  <r>
    <x v="2"/>
    <x v="2"/>
    <x v="2"/>
    <x v="2"/>
  </r>
  <r>
    <x v="3"/>
    <x v="3"/>
    <x v="3"/>
    <x v="3"/>
  </r>
  <r>
    <x v="4"/>
    <x v="4"/>
    <x v="4"/>
    <x v="4"/>
  </r>
  <r>
    <x v="5"/>
    <x v="5"/>
    <x v="5"/>
    <x v="5"/>
  </r>
  <r>
    <x v="6"/>
    <x v="6"/>
    <x v="6"/>
    <x v="6"/>
  </r>
  <r>
    <x v="7"/>
    <x v="7"/>
    <x v="7"/>
    <x v="7"/>
  </r>
  <r>
    <x v="8"/>
    <x v="8"/>
    <x v="8"/>
    <x v="8"/>
  </r>
  <r>
    <x v="9"/>
    <x v="9"/>
    <x v="9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2D236C-5D51-9347-89E9-A50E02660D5A}" name="PivotTable10" cacheId="67" applyNumberFormats="0" applyBorderFormats="0" applyFontFormats="0" applyPatternFormats="0" applyAlignmentFormats="0" applyWidthHeightFormats="1" dataCaption="Values" updatedVersion="6" minRefreshableVersion="3" printDrill="1" useAutoFormatting="1" itemPrintTitles="1" createdVersion="6" indent="0" outline="1" outlineData="1" multipleFieldFilters="0" rowHeaderCaption="Idenpendent Variables">
  <location ref="A3:D14" firstHeaderRow="0" firstDataRow="1" firstDataCol="1"/>
  <pivotFields count="4">
    <pivotField axis="axisRow" showAll="0">
      <items count="11">
        <item x="0"/>
        <item x="1"/>
        <item x="3"/>
        <item x="4"/>
        <item x="5"/>
        <item x="6"/>
        <item x="2"/>
        <item x="7"/>
        <item x="9"/>
        <item x="8"/>
        <item t="default"/>
      </items>
    </pivotField>
    <pivotField dataField="1" showAll="0">
      <items count="11">
        <item x="3"/>
        <item x="0"/>
        <item x="1"/>
        <item x="7"/>
        <item x="6"/>
        <item x="4"/>
        <item x="5"/>
        <item x="2"/>
        <item x="8"/>
        <item x="9"/>
        <item t="default"/>
      </items>
    </pivotField>
    <pivotField dataField="1" showAll="0">
      <items count="11">
        <item x="8"/>
        <item x="6"/>
        <item x="4"/>
        <item x="5"/>
        <item x="9"/>
        <item x="7"/>
        <item x="3"/>
        <item x="2"/>
        <item x="0"/>
        <item x="1"/>
        <item t="default"/>
      </items>
    </pivotField>
    <pivotField dataField="1" showAll="0">
      <items count="11">
        <item x="8"/>
        <item x="9"/>
        <item x="3"/>
        <item x="6"/>
        <item x="4"/>
        <item x="5"/>
        <item x="7"/>
        <item x="0"/>
        <item x="1"/>
        <item x="2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-Values" fld="3" baseField="0" baseItem="0"/>
    <dataField name="Coefficient" fld="1" baseField="0" baseItem="0"/>
    <dataField name="Standard Errors" fld="2" baseField="0" baseItem="0"/>
  </dataFields>
  <formats count="5">
    <format dxfId="1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">
      <pivotArea field="0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C3356-255C-164D-B953-12CB12F84CBA}" name="PivotTable11" cacheId="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Independent Variables">
  <location ref="A3:B14" firstHeaderRow="1" firstDataRow="1" firstDataCol="1"/>
  <pivotFields count="2">
    <pivotField axis="axisRow" showAll="0">
      <items count="11">
        <item x="0"/>
        <item x="1"/>
        <item x="3"/>
        <item x="4"/>
        <item x="5"/>
        <item x="6"/>
        <item x="2"/>
        <item x="7"/>
        <item x="9"/>
        <item x="8"/>
        <item t="default"/>
      </items>
    </pivotField>
    <pivotField dataField="1" showAll="0">
      <items count="11">
        <item x="1"/>
        <item x="0"/>
        <item x="2"/>
        <item x="7"/>
        <item x="3"/>
        <item x="6"/>
        <item x="4"/>
        <item x="5"/>
        <item x="8"/>
        <item x="9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R-Squared Values" fld="1" baseField="0" baseItem="0"/>
  </dataFields>
  <formats count="2">
    <format dxfId="2">
      <pivotArea dataOnly="0" labelOnly="1" outline="0" axis="axisValues" fieldPosition="0"/>
    </format>
    <format dxfId="0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87F5-F66B-4C4B-A843-2C057F4A920C}">
  <dimension ref="A1:L35"/>
  <sheetViews>
    <sheetView workbookViewId="0">
      <selection activeCell="M28" sqref="M28"/>
    </sheetView>
  </sheetViews>
  <sheetFormatPr baseColWidth="10" defaultRowHeight="16" x14ac:dyDescent="0.2"/>
  <cols>
    <col min="2" max="2" width="17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tr" cm="1">
        <f t="array" ref="K1:K35">VLOOKUP(A1:A35,[1]Columns!$A$1:$D$35, 3, 0)</f>
        <v>Male</v>
      </c>
      <c r="L1" t="str" cm="1">
        <f t="array" ref="L1:L35">VLOOKUP(A1:A35,[1]Columns!$A$1:$D$35, 4, 0)</f>
        <v>Female</v>
      </c>
    </row>
    <row r="2" spans="1:12" x14ac:dyDescent="0.2">
      <c r="A2">
        <v>2021</v>
      </c>
      <c r="B2">
        <v>430</v>
      </c>
      <c r="C2">
        <v>0</v>
      </c>
      <c r="D2">
        <v>0</v>
      </c>
      <c r="E2">
        <v>0</v>
      </c>
      <c r="F2">
        <v>1</v>
      </c>
      <c r="G2">
        <v>126</v>
      </c>
      <c r="H2">
        <v>167</v>
      </c>
      <c r="I2">
        <v>114</v>
      </c>
      <c r="J2">
        <v>22</v>
      </c>
      <c r="K2">
        <v>158</v>
      </c>
      <c r="L2">
        <v>272</v>
      </c>
    </row>
    <row r="3" spans="1:12" x14ac:dyDescent="0.2">
      <c r="A3">
        <v>2020</v>
      </c>
      <c r="B3" s="1">
        <v>5728</v>
      </c>
      <c r="C3">
        <v>0</v>
      </c>
      <c r="D3">
        <v>0</v>
      </c>
      <c r="E3">
        <v>0</v>
      </c>
      <c r="F3">
        <v>0</v>
      </c>
      <c r="G3" s="1">
        <v>1597</v>
      </c>
      <c r="H3" s="1">
        <v>2135</v>
      </c>
      <c r="I3" s="1">
        <v>1690</v>
      </c>
      <c r="J3">
        <v>302</v>
      </c>
      <c r="K3">
        <v>2032</v>
      </c>
      <c r="L3">
        <v>3696</v>
      </c>
    </row>
    <row r="4" spans="1:12" x14ac:dyDescent="0.2">
      <c r="A4">
        <v>2019</v>
      </c>
      <c r="B4" s="1">
        <v>7383</v>
      </c>
      <c r="C4">
        <v>0</v>
      </c>
      <c r="D4">
        <v>0</v>
      </c>
      <c r="E4">
        <v>0</v>
      </c>
      <c r="F4">
        <v>1</v>
      </c>
      <c r="G4" s="1">
        <v>2020</v>
      </c>
      <c r="H4" s="1">
        <v>2887</v>
      </c>
      <c r="I4" s="1">
        <v>2120</v>
      </c>
      <c r="J4">
        <v>354</v>
      </c>
      <c r="K4">
        <v>2638</v>
      </c>
      <c r="L4">
        <v>4745</v>
      </c>
    </row>
    <row r="5" spans="1:12" x14ac:dyDescent="0.2">
      <c r="A5">
        <v>2018</v>
      </c>
      <c r="B5" s="1">
        <v>6848</v>
      </c>
      <c r="C5">
        <v>0</v>
      </c>
      <c r="D5">
        <v>0</v>
      </c>
      <c r="E5">
        <v>0</v>
      </c>
      <c r="F5">
        <v>1</v>
      </c>
      <c r="G5" s="1">
        <v>1840</v>
      </c>
      <c r="H5" s="1">
        <v>2722</v>
      </c>
      <c r="I5" s="1">
        <v>1952</v>
      </c>
      <c r="J5">
        <v>332</v>
      </c>
      <c r="K5">
        <v>2538</v>
      </c>
      <c r="L5">
        <v>4310</v>
      </c>
    </row>
    <row r="6" spans="1:12" x14ac:dyDescent="0.2">
      <c r="A6">
        <v>2017</v>
      </c>
      <c r="B6" s="1">
        <v>6182</v>
      </c>
      <c r="C6">
        <v>0</v>
      </c>
      <c r="D6">
        <v>0</v>
      </c>
      <c r="E6">
        <v>0</v>
      </c>
      <c r="F6">
        <v>2</v>
      </c>
      <c r="G6" s="1">
        <v>1740</v>
      </c>
      <c r="H6" s="1">
        <v>2413</v>
      </c>
      <c r="I6" s="1">
        <v>1784</v>
      </c>
      <c r="J6">
        <v>242</v>
      </c>
      <c r="K6">
        <v>2322</v>
      </c>
      <c r="L6">
        <v>3860</v>
      </c>
    </row>
    <row r="7" spans="1:12" x14ac:dyDescent="0.2">
      <c r="A7">
        <v>2016</v>
      </c>
      <c r="B7" s="1">
        <v>5975</v>
      </c>
      <c r="C7">
        <v>0</v>
      </c>
      <c r="D7">
        <v>0</v>
      </c>
      <c r="E7">
        <v>1</v>
      </c>
      <c r="F7">
        <v>1</v>
      </c>
      <c r="G7" s="1">
        <v>1751</v>
      </c>
      <c r="H7" s="1">
        <v>2318</v>
      </c>
      <c r="I7" s="1">
        <v>1711</v>
      </c>
      <c r="J7">
        <v>192</v>
      </c>
      <c r="K7">
        <v>2221</v>
      </c>
      <c r="L7">
        <v>3754</v>
      </c>
    </row>
    <row r="8" spans="1:12" x14ac:dyDescent="0.2">
      <c r="A8">
        <v>2015</v>
      </c>
      <c r="B8" s="1">
        <v>5989</v>
      </c>
      <c r="C8">
        <v>0</v>
      </c>
      <c r="D8">
        <v>0</v>
      </c>
      <c r="E8">
        <v>0</v>
      </c>
      <c r="F8">
        <v>2</v>
      </c>
      <c r="G8" s="1">
        <v>1731</v>
      </c>
      <c r="H8" s="1">
        <v>2355</v>
      </c>
      <c r="I8" s="1">
        <v>1690</v>
      </c>
      <c r="J8">
        <v>204</v>
      </c>
      <c r="K8">
        <v>2235</v>
      </c>
      <c r="L8">
        <v>3754</v>
      </c>
    </row>
    <row r="9" spans="1:12" x14ac:dyDescent="0.2">
      <c r="A9">
        <v>2014</v>
      </c>
      <c r="B9" s="1">
        <v>5820</v>
      </c>
      <c r="C9">
        <v>0</v>
      </c>
      <c r="D9">
        <v>0</v>
      </c>
      <c r="E9">
        <v>0</v>
      </c>
      <c r="F9">
        <v>2</v>
      </c>
      <c r="G9" s="1">
        <v>1762</v>
      </c>
      <c r="H9" s="1">
        <v>2368</v>
      </c>
      <c r="I9" s="1">
        <v>1527</v>
      </c>
      <c r="J9">
        <v>160</v>
      </c>
      <c r="K9">
        <v>2190</v>
      </c>
      <c r="L9">
        <v>3630</v>
      </c>
    </row>
    <row r="10" spans="1:12" x14ac:dyDescent="0.2">
      <c r="A10">
        <v>2013</v>
      </c>
      <c r="B10" s="1">
        <v>5989</v>
      </c>
      <c r="C10">
        <v>0</v>
      </c>
      <c r="D10">
        <v>0</v>
      </c>
      <c r="E10">
        <v>0</v>
      </c>
      <c r="F10">
        <v>0</v>
      </c>
      <c r="G10" s="1">
        <v>1846</v>
      </c>
      <c r="H10" s="1">
        <v>2440</v>
      </c>
      <c r="I10" s="1">
        <v>1583</v>
      </c>
      <c r="J10">
        <v>120</v>
      </c>
      <c r="K10">
        <v>2336</v>
      </c>
      <c r="L10">
        <v>3653</v>
      </c>
    </row>
    <row r="11" spans="1:12" x14ac:dyDescent="0.2">
      <c r="A11">
        <v>2012</v>
      </c>
      <c r="B11" s="1">
        <v>5867</v>
      </c>
      <c r="C11">
        <v>0</v>
      </c>
      <c r="D11">
        <v>0</v>
      </c>
      <c r="E11">
        <v>0</v>
      </c>
      <c r="F11">
        <v>2</v>
      </c>
      <c r="G11" s="1">
        <v>1774</v>
      </c>
      <c r="H11" s="1">
        <v>2452</v>
      </c>
      <c r="I11" s="1">
        <v>1513</v>
      </c>
      <c r="J11">
        <v>126</v>
      </c>
      <c r="K11">
        <v>2224</v>
      </c>
      <c r="L11">
        <v>3643</v>
      </c>
    </row>
    <row r="12" spans="1:12" x14ac:dyDescent="0.2">
      <c r="A12">
        <v>2011</v>
      </c>
      <c r="B12" s="1">
        <v>6023</v>
      </c>
      <c r="C12">
        <v>0</v>
      </c>
      <c r="D12">
        <v>0</v>
      </c>
      <c r="E12">
        <v>0</v>
      </c>
      <c r="F12">
        <v>1</v>
      </c>
      <c r="G12" s="1">
        <v>1769</v>
      </c>
      <c r="H12" s="1">
        <v>2535</v>
      </c>
      <c r="I12" s="1">
        <v>1621</v>
      </c>
      <c r="J12">
        <v>97</v>
      </c>
      <c r="K12">
        <v>2339</v>
      </c>
      <c r="L12">
        <v>3684</v>
      </c>
    </row>
    <row r="13" spans="1:12" x14ac:dyDescent="0.2">
      <c r="A13">
        <v>2010</v>
      </c>
      <c r="B13" s="1">
        <v>6562</v>
      </c>
      <c r="C13">
        <v>0</v>
      </c>
      <c r="D13">
        <v>0</v>
      </c>
      <c r="E13">
        <v>2</v>
      </c>
      <c r="F13">
        <v>4</v>
      </c>
      <c r="G13" s="1">
        <v>2041</v>
      </c>
      <c r="H13" s="1">
        <v>2758</v>
      </c>
      <c r="I13" s="1">
        <v>1636</v>
      </c>
      <c r="J13">
        <v>121</v>
      </c>
      <c r="K13">
        <v>2492</v>
      </c>
      <c r="L13">
        <v>4070</v>
      </c>
    </row>
    <row r="14" spans="1:12" x14ac:dyDescent="0.2">
      <c r="A14">
        <v>2009</v>
      </c>
      <c r="B14" s="1">
        <v>6610</v>
      </c>
      <c r="C14">
        <v>0</v>
      </c>
      <c r="D14">
        <v>1</v>
      </c>
      <c r="E14">
        <v>0</v>
      </c>
      <c r="F14">
        <v>0</v>
      </c>
      <c r="G14" s="1">
        <v>2030</v>
      </c>
      <c r="H14" s="1">
        <v>2839</v>
      </c>
      <c r="I14" s="1">
        <v>1633</v>
      </c>
      <c r="J14">
        <v>107</v>
      </c>
      <c r="K14">
        <v>2617</v>
      </c>
      <c r="L14">
        <v>3993</v>
      </c>
    </row>
    <row r="15" spans="1:12" x14ac:dyDescent="0.2">
      <c r="A15">
        <v>2008</v>
      </c>
      <c r="B15" s="1">
        <v>6218</v>
      </c>
      <c r="C15">
        <v>0</v>
      </c>
      <c r="D15">
        <v>0</v>
      </c>
      <c r="E15">
        <v>0</v>
      </c>
      <c r="F15">
        <v>0</v>
      </c>
      <c r="G15" s="1">
        <v>1969</v>
      </c>
      <c r="H15" s="1">
        <v>2688</v>
      </c>
      <c r="I15" s="1">
        <v>1471</v>
      </c>
      <c r="J15">
        <v>90</v>
      </c>
      <c r="K15">
        <v>2477</v>
      </c>
      <c r="L15">
        <v>3741</v>
      </c>
    </row>
    <row r="16" spans="1:12" x14ac:dyDescent="0.2">
      <c r="A16">
        <v>2007</v>
      </c>
      <c r="B16" s="1">
        <v>6315</v>
      </c>
      <c r="C16">
        <v>0</v>
      </c>
      <c r="D16">
        <v>0</v>
      </c>
      <c r="E16">
        <v>1</v>
      </c>
      <c r="F16">
        <v>1</v>
      </c>
      <c r="G16" s="1">
        <v>1987</v>
      </c>
      <c r="H16" s="1">
        <v>2790</v>
      </c>
      <c r="I16" s="1">
        <v>1456</v>
      </c>
      <c r="J16">
        <v>80</v>
      </c>
      <c r="K16">
        <v>2673</v>
      </c>
      <c r="L16">
        <v>3642</v>
      </c>
    </row>
    <row r="17" spans="1:12" x14ac:dyDescent="0.2">
      <c r="A17">
        <v>2006</v>
      </c>
      <c r="B17" s="1">
        <v>6733</v>
      </c>
      <c r="C17">
        <v>2</v>
      </c>
      <c r="D17">
        <v>0</v>
      </c>
      <c r="E17">
        <v>0</v>
      </c>
      <c r="F17">
        <v>1</v>
      </c>
      <c r="G17" s="1">
        <v>2180</v>
      </c>
      <c r="H17" s="1">
        <v>3045</v>
      </c>
      <c r="I17" s="1">
        <v>1433</v>
      </c>
      <c r="J17">
        <v>72</v>
      </c>
      <c r="K17">
        <v>2777</v>
      </c>
      <c r="L17">
        <v>3956</v>
      </c>
    </row>
    <row r="18" spans="1:12" x14ac:dyDescent="0.2">
      <c r="A18">
        <v>2005</v>
      </c>
      <c r="B18" s="1">
        <v>6904</v>
      </c>
      <c r="C18">
        <v>0</v>
      </c>
      <c r="D18">
        <v>0</v>
      </c>
      <c r="E18">
        <v>0</v>
      </c>
      <c r="F18">
        <v>0</v>
      </c>
      <c r="G18" s="1">
        <v>2221</v>
      </c>
      <c r="H18" s="1">
        <v>3246</v>
      </c>
      <c r="I18" s="1">
        <v>1379</v>
      </c>
      <c r="J18">
        <v>58</v>
      </c>
      <c r="K18">
        <v>2825</v>
      </c>
      <c r="L18">
        <v>4079</v>
      </c>
    </row>
    <row r="19" spans="1:12" x14ac:dyDescent="0.2">
      <c r="A19">
        <v>2004</v>
      </c>
      <c r="B19" s="1">
        <v>7005</v>
      </c>
      <c r="C19">
        <v>0</v>
      </c>
      <c r="D19">
        <v>0</v>
      </c>
      <c r="E19">
        <v>0</v>
      </c>
      <c r="F19">
        <v>0</v>
      </c>
      <c r="G19" s="1">
        <v>2359</v>
      </c>
      <c r="H19" s="1">
        <v>3228</v>
      </c>
      <c r="I19" s="1">
        <v>1361</v>
      </c>
      <c r="J19">
        <v>57</v>
      </c>
      <c r="K19">
        <v>2980</v>
      </c>
      <c r="L19">
        <v>4025</v>
      </c>
    </row>
    <row r="20" spans="1:12" x14ac:dyDescent="0.2">
      <c r="A20">
        <v>2003</v>
      </c>
      <c r="B20" s="1">
        <v>6828</v>
      </c>
      <c r="C20">
        <v>0</v>
      </c>
      <c r="D20">
        <v>0</v>
      </c>
      <c r="E20">
        <v>0</v>
      </c>
      <c r="F20">
        <v>1</v>
      </c>
      <c r="G20" s="1">
        <v>2286</v>
      </c>
      <c r="H20" s="1">
        <v>3223</v>
      </c>
      <c r="I20" s="1">
        <v>1252</v>
      </c>
      <c r="J20">
        <v>66</v>
      </c>
      <c r="K20">
        <v>2844</v>
      </c>
      <c r="L20">
        <v>3984</v>
      </c>
    </row>
    <row r="21" spans="1:12" x14ac:dyDescent="0.2">
      <c r="A21">
        <v>2002</v>
      </c>
      <c r="B21" s="1">
        <v>6631</v>
      </c>
      <c r="C21">
        <v>0</v>
      </c>
      <c r="D21">
        <v>0</v>
      </c>
      <c r="E21">
        <v>0</v>
      </c>
      <c r="F21">
        <v>2</v>
      </c>
      <c r="G21" s="1">
        <v>2237</v>
      </c>
      <c r="H21" s="1">
        <v>3097</v>
      </c>
      <c r="I21" s="1">
        <v>1234</v>
      </c>
      <c r="J21">
        <v>61</v>
      </c>
      <c r="K21">
        <v>2802</v>
      </c>
      <c r="L21">
        <v>3829</v>
      </c>
    </row>
    <row r="22" spans="1:12" x14ac:dyDescent="0.2">
      <c r="A22">
        <v>2001</v>
      </c>
      <c r="B22" s="1">
        <v>6622</v>
      </c>
      <c r="C22">
        <v>0</v>
      </c>
      <c r="D22">
        <v>0</v>
      </c>
      <c r="E22">
        <v>0</v>
      </c>
      <c r="F22">
        <v>1</v>
      </c>
      <c r="G22" s="1">
        <v>2310</v>
      </c>
      <c r="H22" s="1">
        <v>3074</v>
      </c>
      <c r="I22" s="1">
        <v>1167</v>
      </c>
      <c r="J22">
        <v>70</v>
      </c>
      <c r="K22">
        <v>2796</v>
      </c>
      <c r="L22">
        <v>3826</v>
      </c>
    </row>
    <row r="23" spans="1:12" x14ac:dyDescent="0.2">
      <c r="A23">
        <v>2000</v>
      </c>
      <c r="B23" s="1">
        <v>5957</v>
      </c>
      <c r="C23">
        <v>0</v>
      </c>
      <c r="D23">
        <v>0</v>
      </c>
      <c r="E23">
        <v>1</v>
      </c>
      <c r="F23">
        <v>1</v>
      </c>
      <c r="G23" s="1">
        <v>2047</v>
      </c>
      <c r="H23" s="1">
        <v>2820</v>
      </c>
      <c r="I23" s="1">
        <v>1033</v>
      </c>
      <c r="J23">
        <v>52</v>
      </c>
      <c r="K23">
        <v>2608</v>
      </c>
      <c r="L23">
        <v>3349</v>
      </c>
    </row>
    <row r="24" spans="1:12" x14ac:dyDescent="0.2">
      <c r="A24">
        <v>1999</v>
      </c>
      <c r="B24" s="1">
        <v>5048</v>
      </c>
      <c r="C24">
        <v>0</v>
      </c>
      <c r="D24">
        <v>0</v>
      </c>
      <c r="E24">
        <v>0</v>
      </c>
      <c r="F24">
        <v>0</v>
      </c>
      <c r="G24" s="1">
        <v>1772</v>
      </c>
      <c r="H24" s="1">
        <v>2350</v>
      </c>
      <c r="I24">
        <v>882</v>
      </c>
      <c r="J24">
        <v>41</v>
      </c>
      <c r="K24">
        <v>2161</v>
      </c>
      <c r="L24">
        <v>2886</v>
      </c>
    </row>
    <row r="25" spans="1:12" x14ac:dyDescent="0.2">
      <c r="A25">
        <v>1998</v>
      </c>
      <c r="B25" s="1">
        <v>4569</v>
      </c>
      <c r="C25">
        <v>0</v>
      </c>
      <c r="D25">
        <v>0</v>
      </c>
      <c r="E25">
        <v>1</v>
      </c>
      <c r="F25">
        <v>5</v>
      </c>
      <c r="G25" s="1">
        <v>1615</v>
      </c>
      <c r="H25" s="1">
        <v>2093</v>
      </c>
      <c r="I25">
        <v>801</v>
      </c>
      <c r="J25">
        <v>53</v>
      </c>
      <c r="K25">
        <v>1943</v>
      </c>
      <c r="L25">
        <v>2626</v>
      </c>
    </row>
    <row r="26" spans="1:12" x14ac:dyDescent="0.2">
      <c r="A26">
        <v>1997</v>
      </c>
      <c r="B26" s="1">
        <v>4067</v>
      </c>
      <c r="C26">
        <v>0</v>
      </c>
      <c r="D26">
        <v>0</v>
      </c>
      <c r="E26">
        <v>0</v>
      </c>
      <c r="F26">
        <v>1</v>
      </c>
      <c r="G26" s="1">
        <v>1558</v>
      </c>
      <c r="H26" s="1">
        <v>1807</v>
      </c>
      <c r="I26">
        <v>653</v>
      </c>
      <c r="J26">
        <v>47</v>
      </c>
      <c r="K26">
        <v>1756</v>
      </c>
      <c r="L26">
        <v>2311</v>
      </c>
    </row>
    <row r="27" spans="1:12" x14ac:dyDescent="0.2">
      <c r="A27">
        <v>1996</v>
      </c>
      <c r="B27" s="1">
        <v>3804</v>
      </c>
      <c r="C27">
        <v>0</v>
      </c>
      <c r="D27">
        <v>0</v>
      </c>
      <c r="E27">
        <v>0</v>
      </c>
      <c r="F27">
        <v>7</v>
      </c>
      <c r="G27" s="1">
        <v>1428</v>
      </c>
      <c r="H27" s="1">
        <v>1761</v>
      </c>
      <c r="I27">
        <v>570</v>
      </c>
      <c r="J27">
        <v>36</v>
      </c>
      <c r="K27">
        <v>1591</v>
      </c>
      <c r="L27">
        <v>2213</v>
      </c>
    </row>
    <row r="28" spans="1:12" x14ac:dyDescent="0.2">
      <c r="A28">
        <v>1995</v>
      </c>
      <c r="B28" s="1">
        <v>3496</v>
      </c>
      <c r="C28">
        <v>0</v>
      </c>
      <c r="D28">
        <v>0</v>
      </c>
      <c r="E28">
        <v>0</v>
      </c>
      <c r="F28">
        <v>3</v>
      </c>
      <c r="G28" s="1">
        <v>1320</v>
      </c>
      <c r="H28" s="1">
        <v>1610</v>
      </c>
      <c r="I28">
        <v>525</v>
      </c>
      <c r="J28">
        <v>37</v>
      </c>
      <c r="K28">
        <v>1479</v>
      </c>
      <c r="L28">
        <v>2017</v>
      </c>
    </row>
    <row r="29" spans="1:12" x14ac:dyDescent="0.2">
      <c r="A29">
        <v>1994</v>
      </c>
      <c r="B29" s="1">
        <v>3104</v>
      </c>
      <c r="C29">
        <v>0</v>
      </c>
      <c r="D29">
        <v>0</v>
      </c>
      <c r="E29">
        <v>0</v>
      </c>
      <c r="F29">
        <v>3</v>
      </c>
      <c r="G29" s="1">
        <v>1279</v>
      </c>
      <c r="H29" s="1">
        <v>1346</v>
      </c>
      <c r="I29">
        <v>443</v>
      </c>
      <c r="J29">
        <v>32</v>
      </c>
      <c r="K29">
        <v>1378</v>
      </c>
      <c r="L29">
        <v>1726</v>
      </c>
    </row>
    <row r="30" spans="1:12" x14ac:dyDescent="0.2">
      <c r="A30">
        <v>1993</v>
      </c>
      <c r="B30" s="1">
        <v>2905</v>
      </c>
      <c r="C30">
        <v>0</v>
      </c>
      <c r="D30">
        <v>1</v>
      </c>
      <c r="E30">
        <v>0</v>
      </c>
      <c r="F30">
        <v>4</v>
      </c>
      <c r="G30" s="1">
        <v>1243</v>
      </c>
      <c r="H30" s="1">
        <v>1203</v>
      </c>
      <c r="I30">
        <v>426</v>
      </c>
      <c r="J30">
        <v>28</v>
      </c>
      <c r="K30">
        <v>1265</v>
      </c>
      <c r="L30">
        <v>1640</v>
      </c>
    </row>
    <row r="31" spans="1:12" x14ac:dyDescent="0.2">
      <c r="A31">
        <v>1992</v>
      </c>
      <c r="B31" s="1">
        <v>2571</v>
      </c>
      <c r="C31">
        <v>0</v>
      </c>
      <c r="D31">
        <v>0</v>
      </c>
      <c r="E31">
        <v>0</v>
      </c>
      <c r="F31">
        <v>1</v>
      </c>
      <c r="G31" s="1">
        <v>1120</v>
      </c>
      <c r="H31" s="1">
        <v>1069</v>
      </c>
      <c r="I31">
        <v>347</v>
      </c>
      <c r="J31">
        <v>34</v>
      </c>
      <c r="K31">
        <v>1133</v>
      </c>
      <c r="L31">
        <v>1438</v>
      </c>
    </row>
    <row r="32" spans="1:12" x14ac:dyDescent="0.2">
      <c r="A32">
        <v>1991</v>
      </c>
      <c r="B32" s="1">
        <v>2427</v>
      </c>
      <c r="C32">
        <v>0</v>
      </c>
      <c r="D32">
        <v>0</v>
      </c>
      <c r="E32">
        <v>0</v>
      </c>
      <c r="F32">
        <v>3</v>
      </c>
      <c r="G32" s="1">
        <v>1054</v>
      </c>
      <c r="H32" s="1">
        <v>1050</v>
      </c>
      <c r="I32">
        <v>300</v>
      </c>
      <c r="J32">
        <v>20</v>
      </c>
      <c r="K32">
        <v>1078</v>
      </c>
      <c r="L32">
        <v>1349</v>
      </c>
    </row>
    <row r="33" spans="1:12" x14ac:dyDescent="0.2">
      <c r="A33">
        <v>1990</v>
      </c>
      <c r="B33" s="1">
        <v>2123</v>
      </c>
      <c r="C33">
        <v>0</v>
      </c>
      <c r="D33">
        <v>0</v>
      </c>
      <c r="E33">
        <v>0</v>
      </c>
      <c r="F33">
        <v>5</v>
      </c>
      <c r="G33">
        <v>961</v>
      </c>
      <c r="H33">
        <v>852</v>
      </c>
      <c r="I33">
        <v>279</v>
      </c>
      <c r="J33">
        <v>26</v>
      </c>
      <c r="K33">
        <v>940</v>
      </c>
      <c r="L33">
        <v>1183</v>
      </c>
    </row>
    <row r="34" spans="1:12" x14ac:dyDescent="0.2">
      <c r="A34">
        <v>1989</v>
      </c>
      <c r="B34" s="1">
        <v>1918</v>
      </c>
      <c r="C34">
        <v>0</v>
      </c>
      <c r="D34">
        <v>0</v>
      </c>
      <c r="E34">
        <v>0</v>
      </c>
      <c r="F34">
        <v>4</v>
      </c>
      <c r="G34">
        <v>870</v>
      </c>
      <c r="H34">
        <v>757</v>
      </c>
      <c r="I34">
        <v>267</v>
      </c>
      <c r="J34">
        <v>20</v>
      </c>
      <c r="K34">
        <v>872</v>
      </c>
      <c r="L34">
        <v>1046</v>
      </c>
    </row>
    <row r="35" spans="1:12" x14ac:dyDescent="0.2">
      <c r="A35">
        <v>1988</v>
      </c>
      <c r="B35" s="1">
        <v>1829</v>
      </c>
      <c r="C35">
        <v>0</v>
      </c>
      <c r="D35">
        <v>0</v>
      </c>
      <c r="E35">
        <v>0</v>
      </c>
      <c r="F35">
        <v>6</v>
      </c>
      <c r="G35">
        <v>872</v>
      </c>
      <c r="H35">
        <v>717</v>
      </c>
      <c r="I35">
        <v>222</v>
      </c>
      <c r="J35">
        <v>12</v>
      </c>
      <c r="K35">
        <v>826</v>
      </c>
      <c r="L35">
        <v>1003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CFB1C-9D68-DF44-8E8D-2F2D59691D17}">
  <dimension ref="A1:J35"/>
  <sheetViews>
    <sheetView topLeftCell="C1" workbookViewId="0">
      <selection activeCell="R8" sqref="R8"/>
    </sheetView>
  </sheetViews>
  <sheetFormatPr baseColWidth="10" defaultRowHeight="16" x14ac:dyDescent="0.2"/>
  <cols>
    <col min="2" max="2" width="17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">
      <c r="A2">
        <v>2021</v>
      </c>
      <c r="B2">
        <v>430</v>
      </c>
      <c r="C2">
        <v>0</v>
      </c>
      <c r="D2">
        <v>0</v>
      </c>
      <c r="E2">
        <v>0</v>
      </c>
      <c r="F2">
        <v>1</v>
      </c>
      <c r="G2">
        <v>126</v>
      </c>
      <c r="H2">
        <v>167</v>
      </c>
      <c r="I2">
        <v>114</v>
      </c>
      <c r="J2">
        <v>22</v>
      </c>
    </row>
    <row r="3" spans="1:10" x14ac:dyDescent="0.2">
      <c r="A3">
        <v>2020</v>
      </c>
      <c r="B3" s="1">
        <v>5728</v>
      </c>
      <c r="C3">
        <v>0</v>
      </c>
      <c r="D3">
        <v>0</v>
      </c>
      <c r="E3">
        <v>0</v>
      </c>
      <c r="F3">
        <v>0</v>
      </c>
      <c r="G3" s="1">
        <v>1597</v>
      </c>
      <c r="H3" s="1">
        <v>2135</v>
      </c>
      <c r="I3" s="1">
        <v>1690</v>
      </c>
      <c r="J3">
        <v>302</v>
      </c>
    </row>
    <row r="4" spans="1:10" x14ac:dyDescent="0.2">
      <c r="A4">
        <v>2019</v>
      </c>
      <c r="B4" s="1">
        <v>7383</v>
      </c>
      <c r="C4">
        <v>0</v>
      </c>
      <c r="D4">
        <v>0</v>
      </c>
      <c r="E4">
        <v>0</v>
      </c>
      <c r="F4">
        <v>1</v>
      </c>
      <c r="G4" s="1">
        <v>2020</v>
      </c>
      <c r="H4" s="1">
        <v>2887</v>
      </c>
      <c r="I4" s="1">
        <v>2120</v>
      </c>
      <c r="J4">
        <v>354</v>
      </c>
    </row>
    <row r="5" spans="1:10" x14ac:dyDescent="0.2">
      <c r="A5">
        <v>2018</v>
      </c>
      <c r="B5" s="1">
        <v>6848</v>
      </c>
      <c r="C5">
        <v>0</v>
      </c>
      <c r="D5">
        <v>0</v>
      </c>
      <c r="E5">
        <v>0</v>
      </c>
      <c r="F5">
        <v>1</v>
      </c>
      <c r="G5" s="1">
        <v>1840</v>
      </c>
      <c r="H5" s="1">
        <v>2722</v>
      </c>
      <c r="I5" s="1">
        <v>1952</v>
      </c>
      <c r="J5">
        <v>332</v>
      </c>
    </row>
    <row r="6" spans="1:10" x14ac:dyDescent="0.2">
      <c r="A6">
        <v>2017</v>
      </c>
      <c r="B6" s="1">
        <v>6182</v>
      </c>
      <c r="C6">
        <v>0</v>
      </c>
      <c r="D6">
        <v>0</v>
      </c>
      <c r="E6">
        <v>0</v>
      </c>
      <c r="F6">
        <v>2</v>
      </c>
      <c r="G6" s="1">
        <v>1740</v>
      </c>
      <c r="H6" s="1">
        <v>2413</v>
      </c>
      <c r="I6" s="1">
        <v>1784</v>
      </c>
      <c r="J6">
        <v>242</v>
      </c>
    </row>
    <row r="7" spans="1:10" x14ac:dyDescent="0.2">
      <c r="A7">
        <v>2016</v>
      </c>
      <c r="B7" s="1">
        <v>5975</v>
      </c>
      <c r="C7">
        <v>0</v>
      </c>
      <c r="D7">
        <v>0</v>
      </c>
      <c r="E7">
        <v>1</v>
      </c>
      <c r="F7">
        <v>1</v>
      </c>
      <c r="G7" s="1">
        <v>1751</v>
      </c>
      <c r="H7" s="1">
        <v>2318</v>
      </c>
      <c r="I7" s="1">
        <v>1711</v>
      </c>
      <c r="J7">
        <v>192</v>
      </c>
    </row>
    <row r="8" spans="1:10" x14ac:dyDescent="0.2">
      <c r="A8">
        <v>2015</v>
      </c>
      <c r="B8" s="1">
        <v>5989</v>
      </c>
      <c r="C8">
        <v>0</v>
      </c>
      <c r="D8">
        <v>0</v>
      </c>
      <c r="E8">
        <v>0</v>
      </c>
      <c r="F8">
        <v>2</v>
      </c>
      <c r="G8" s="1">
        <v>1731</v>
      </c>
      <c r="H8" s="1">
        <v>2355</v>
      </c>
      <c r="I8" s="1">
        <v>1690</v>
      </c>
      <c r="J8">
        <v>204</v>
      </c>
    </row>
    <row r="9" spans="1:10" x14ac:dyDescent="0.2">
      <c r="A9">
        <v>2014</v>
      </c>
      <c r="B9" s="1">
        <v>5820</v>
      </c>
      <c r="C9">
        <v>0</v>
      </c>
      <c r="D9">
        <v>0</v>
      </c>
      <c r="E9">
        <v>0</v>
      </c>
      <c r="F9">
        <v>2</v>
      </c>
      <c r="G9" s="1">
        <v>1762</v>
      </c>
      <c r="H9" s="1">
        <v>2368</v>
      </c>
      <c r="I9" s="1">
        <v>1527</v>
      </c>
      <c r="J9">
        <v>160</v>
      </c>
    </row>
    <row r="10" spans="1:10" x14ac:dyDescent="0.2">
      <c r="A10">
        <v>2013</v>
      </c>
      <c r="B10" s="1">
        <v>5989</v>
      </c>
      <c r="C10">
        <v>0</v>
      </c>
      <c r="D10">
        <v>0</v>
      </c>
      <c r="E10">
        <v>0</v>
      </c>
      <c r="F10">
        <v>0</v>
      </c>
      <c r="G10" s="1">
        <v>1846</v>
      </c>
      <c r="H10" s="1">
        <v>2440</v>
      </c>
      <c r="I10" s="1">
        <v>1583</v>
      </c>
      <c r="J10">
        <v>120</v>
      </c>
    </row>
    <row r="11" spans="1:10" x14ac:dyDescent="0.2">
      <c r="A11">
        <v>2012</v>
      </c>
      <c r="B11" s="1">
        <v>5867</v>
      </c>
      <c r="C11">
        <v>0</v>
      </c>
      <c r="D11">
        <v>0</v>
      </c>
      <c r="E11">
        <v>0</v>
      </c>
      <c r="F11">
        <v>2</v>
      </c>
      <c r="G11" s="1">
        <v>1774</v>
      </c>
      <c r="H11" s="1">
        <v>2452</v>
      </c>
      <c r="I11" s="1">
        <v>1513</v>
      </c>
      <c r="J11">
        <v>126</v>
      </c>
    </row>
    <row r="12" spans="1:10" x14ac:dyDescent="0.2">
      <c r="A12">
        <v>2011</v>
      </c>
      <c r="B12" s="1">
        <v>6023</v>
      </c>
      <c r="C12">
        <v>0</v>
      </c>
      <c r="D12">
        <v>0</v>
      </c>
      <c r="E12">
        <v>0</v>
      </c>
      <c r="F12">
        <v>1</v>
      </c>
      <c r="G12" s="1">
        <v>1769</v>
      </c>
      <c r="H12" s="1">
        <v>2535</v>
      </c>
      <c r="I12" s="1">
        <v>1621</v>
      </c>
      <c r="J12">
        <v>97</v>
      </c>
    </row>
    <row r="13" spans="1:10" x14ac:dyDescent="0.2">
      <c r="A13">
        <v>2010</v>
      </c>
      <c r="B13" s="1">
        <v>6562</v>
      </c>
      <c r="C13">
        <v>0</v>
      </c>
      <c r="D13">
        <v>0</v>
      </c>
      <c r="E13">
        <v>2</v>
      </c>
      <c r="F13">
        <v>4</v>
      </c>
      <c r="G13" s="1">
        <v>2041</v>
      </c>
      <c r="H13" s="1">
        <v>2758</v>
      </c>
      <c r="I13" s="1">
        <v>1636</v>
      </c>
      <c r="J13">
        <v>121</v>
      </c>
    </row>
    <row r="14" spans="1:10" x14ac:dyDescent="0.2">
      <c r="A14">
        <v>2009</v>
      </c>
      <c r="B14" s="1">
        <v>6610</v>
      </c>
      <c r="C14">
        <v>0</v>
      </c>
      <c r="D14">
        <v>1</v>
      </c>
      <c r="E14">
        <v>0</v>
      </c>
      <c r="F14">
        <v>0</v>
      </c>
      <c r="G14" s="1">
        <v>2030</v>
      </c>
      <c r="H14" s="1">
        <v>2839</v>
      </c>
      <c r="I14" s="1">
        <v>1633</v>
      </c>
      <c r="J14">
        <v>107</v>
      </c>
    </row>
    <row r="15" spans="1:10" x14ac:dyDescent="0.2">
      <c r="A15">
        <v>2008</v>
      </c>
      <c r="B15" s="1">
        <v>6218</v>
      </c>
      <c r="C15">
        <v>0</v>
      </c>
      <c r="D15">
        <v>0</v>
      </c>
      <c r="E15">
        <v>0</v>
      </c>
      <c r="F15">
        <v>0</v>
      </c>
      <c r="G15" s="1">
        <v>1969</v>
      </c>
      <c r="H15" s="1">
        <v>2688</v>
      </c>
      <c r="I15" s="1">
        <v>1471</v>
      </c>
      <c r="J15">
        <v>90</v>
      </c>
    </row>
    <row r="16" spans="1:10" x14ac:dyDescent="0.2">
      <c r="A16">
        <v>2007</v>
      </c>
      <c r="B16" s="1">
        <v>6315</v>
      </c>
      <c r="C16">
        <v>0</v>
      </c>
      <c r="D16">
        <v>0</v>
      </c>
      <c r="E16">
        <v>1</v>
      </c>
      <c r="F16">
        <v>1</v>
      </c>
      <c r="G16" s="1">
        <v>1987</v>
      </c>
      <c r="H16" s="1">
        <v>2790</v>
      </c>
      <c r="I16" s="1">
        <v>1456</v>
      </c>
      <c r="J16">
        <v>80</v>
      </c>
    </row>
    <row r="17" spans="1:10" x14ac:dyDescent="0.2">
      <c r="A17">
        <v>2006</v>
      </c>
      <c r="B17" s="1">
        <v>6733</v>
      </c>
      <c r="C17">
        <v>2</v>
      </c>
      <c r="D17">
        <v>0</v>
      </c>
      <c r="E17">
        <v>0</v>
      </c>
      <c r="F17">
        <v>1</v>
      </c>
      <c r="G17" s="1">
        <v>2180</v>
      </c>
      <c r="H17" s="1">
        <v>3045</v>
      </c>
      <c r="I17" s="1">
        <v>1433</v>
      </c>
      <c r="J17">
        <v>72</v>
      </c>
    </row>
    <row r="18" spans="1:10" x14ac:dyDescent="0.2">
      <c r="A18">
        <v>2005</v>
      </c>
      <c r="B18" s="1">
        <v>6904</v>
      </c>
      <c r="C18">
        <v>0</v>
      </c>
      <c r="D18">
        <v>0</v>
      </c>
      <c r="E18">
        <v>0</v>
      </c>
      <c r="F18">
        <v>0</v>
      </c>
      <c r="G18" s="1">
        <v>2221</v>
      </c>
      <c r="H18" s="1">
        <v>3246</v>
      </c>
      <c r="I18" s="1">
        <v>1379</v>
      </c>
      <c r="J18">
        <v>58</v>
      </c>
    </row>
    <row r="19" spans="1:10" x14ac:dyDescent="0.2">
      <c r="A19">
        <v>2004</v>
      </c>
      <c r="B19" s="1">
        <v>7005</v>
      </c>
      <c r="C19">
        <v>0</v>
      </c>
      <c r="D19">
        <v>0</v>
      </c>
      <c r="E19">
        <v>0</v>
      </c>
      <c r="F19">
        <v>0</v>
      </c>
      <c r="G19" s="1">
        <v>2359</v>
      </c>
      <c r="H19" s="1">
        <v>3228</v>
      </c>
      <c r="I19" s="1">
        <v>1361</v>
      </c>
      <c r="J19">
        <v>57</v>
      </c>
    </row>
    <row r="20" spans="1:10" x14ac:dyDescent="0.2">
      <c r="A20">
        <v>2003</v>
      </c>
      <c r="B20" s="1">
        <v>6828</v>
      </c>
      <c r="C20">
        <v>0</v>
      </c>
      <c r="D20">
        <v>0</v>
      </c>
      <c r="E20">
        <v>0</v>
      </c>
      <c r="F20">
        <v>1</v>
      </c>
      <c r="G20" s="1">
        <v>2286</v>
      </c>
      <c r="H20" s="1">
        <v>3223</v>
      </c>
      <c r="I20" s="1">
        <v>1252</v>
      </c>
      <c r="J20">
        <v>66</v>
      </c>
    </row>
    <row r="21" spans="1:10" x14ac:dyDescent="0.2">
      <c r="A21">
        <v>2002</v>
      </c>
      <c r="B21" s="1">
        <v>6631</v>
      </c>
      <c r="C21">
        <v>0</v>
      </c>
      <c r="D21">
        <v>0</v>
      </c>
      <c r="E21">
        <v>0</v>
      </c>
      <c r="F21">
        <v>2</v>
      </c>
      <c r="G21" s="1">
        <v>2237</v>
      </c>
      <c r="H21" s="1">
        <v>3097</v>
      </c>
      <c r="I21" s="1">
        <v>1234</v>
      </c>
      <c r="J21">
        <v>61</v>
      </c>
    </row>
    <row r="22" spans="1:10" x14ac:dyDescent="0.2">
      <c r="A22">
        <v>2001</v>
      </c>
      <c r="B22" s="1">
        <v>6622</v>
      </c>
      <c r="C22">
        <v>0</v>
      </c>
      <c r="D22">
        <v>0</v>
      </c>
      <c r="E22">
        <v>0</v>
      </c>
      <c r="F22">
        <v>1</v>
      </c>
      <c r="G22" s="1">
        <v>2310</v>
      </c>
      <c r="H22" s="1">
        <v>3074</v>
      </c>
      <c r="I22" s="1">
        <v>1167</v>
      </c>
      <c r="J22">
        <v>70</v>
      </c>
    </row>
    <row r="23" spans="1:10" x14ac:dyDescent="0.2">
      <c r="A23">
        <v>2000</v>
      </c>
      <c r="B23" s="1">
        <v>5957</v>
      </c>
      <c r="C23">
        <v>0</v>
      </c>
      <c r="D23">
        <v>0</v>
      </c>
      <c r="E23">
        <v>1</v>
      </c>
      <c r="F23">
        <v>1</v>
      </c>
      <c r="G23" s="1">
        <v>2047</v>
      </c>
      <c r="H23" s="1">
        <v>2820</v>
      </c>
      <c r="I23" s="1">
        <v>1033</v>
      </c>
      <c r="J23">
        <v>52</v>
      </c>
    </row>
    <row r="24" spans="1:10" x14ac:dyDescent="0.2">
      <c r="A24">
        <v>1999</v>
      </c>
      <c r="B24" s="1">
        <v>5048</v>
      </c>
      <c r="C24">
        <v>0</v>
      </c>
      <c r="D24">
        <v>0</v>
      </c>
      <c r="E24">
        <v>0</v>
      </c>
      <c r="F24">
        <v>0</v>
      </c>
      <c r="G24" s="1">
        <v>1772</v>
      </c>
      <c r="H24" s="1">
        <v>2350</v>
      </c>
      <c r="I24">
        <v>882</v>
      </c>
      <c r="J24">
        <v>41</v>
      </c>
    </row>
    <row r="25" spans="1:10" x14ac:dyDescent="0.2">
      <c r="A25">
        <v>1998</v>
      </c>
      <c r="B25" s="1">
        <v>4569</v>
      </c>
      <c r="C25">
        <v>0</v>
      </c>
      <c r="D25">
        <v>0</v>
      </c>
      <c r="E25">
        <v>1</v>
      </c>
      <c r="F25">
        <v>5</v>
      </c>
      <c r="G25" s="1">
        <v>1615</v>
      </c>
      <c r="H25" s="1">
        <v>2093</v>
      </c>
      <c r="I25">
        <v>801</v>
      </c>
      <c r="J25">
        <v>53</v>
      </c>
    </row>
    <row r="26" spans="1:10" x14ac:dyDescent="0.2">
      <c r="A26">
        <v>1997</v>
      </c>
      <c r="B26" s="1">
        <v>4067</v>
      </c>
      <c r="C26">
        <v>0</v>
      </c>
      <c r="D26">
        <v>0</v>
      </c>
      <c r="E26">
        <v>0</v>
      </c>
      <c r="F26">
        <v>1</v>
      </c>
      <c r="G26" s="1">
        <v>1558</v>
      </c>
      <c r="H26" s="1">
        <v>1807</v>
      </c>
      <c r="I26">
        <v>653</v>
      </c>
      <c r="J26">
        <v>47</v>
      </c>
    </row>
    <row r="27" spans="1:10" x14ac:dyDescent="0.2">
      <c r="A27">
        <v>1996</v>
      </c>
      <c r="B27" s="1">
        <v>3804</v>
      </c>
      <c r="C27">
        <v>0</v>
      </c>
      <c r="D27">
        <v>0</v>
      </c>
      <c r="E27">
        <v>0</v>
      </c>
      <c r="F27">
        <v>7</v>
      </c>
      <c r="G27" s="1">
        <v>1428</v>
      </c>
      <c r="H27" s="1">
        <v>1761</v>
      </c>
      <c r="I27">
        <v>570</v>
      </c>
      <c r="J27">
        <v>36</v>
      </c>
    </row>
    <row r="28" spans="1:10" x14ac:dyDescent="0.2">
      <c r="A28">
        <v>1995</v>
      </c>
      <c r="B28" s="1">
        <v>3496</v>
      </c>
      <c r="C28">
        <v>0</v>
      </c>
      <c r="D28">
        <v>0</v>
      </c>
      <c r="E28">
        <v>0</v>
      </c>
      <c r="F28">
        <v>3</v>
      </c>
      <c r="G28" s="1">
        <v>1320</v>
      </c>
      <c r="H28" s="1">
        <v>1610</v>
      </c>
      <c r="I28">
        <v>525</v>
      </c>
      <c r="J28">
        <v>37</v>
      </c>
    </row>
    <row r="29" spans="1:10" x14ac:dyDescent="0.2">
      <c r="A29">
        <v>1994</v>
      </c>
      <c r="B29" s="1">
        <v>3104</v>
      </c>
      <c r="C29">
        <v>0</v>
      </c>
      <c r="D29">
        <v>0</v>
      </c>
      <c r="E29">
        <v>0</v>
      </c>
      <c r="F29">
        <v>3</v>
      </c>
      <c r="G29" s="1">
        <v>1279</v>
      </c>
      <c r="H29" s="1">
        <v>1346</v>
      </c>
      <c r="I29">
        <v>443</v>
      </c>
      <c r="J29">
        <v>32</v>
      </c>
    </row>
    <row r="30" spans="1:10" x14ac:dyDescent="0.2">
      <c r="A30">
        <v>1993</v>
      </c>
      <c r="B30" s="1">
        <v>2905</v>
      </c>
      <c r="C30">
        <v>0</v>
      </c>
      <c r="D30">
        <v>1</v>
      </c>
      <c r="E30">
        <v>0</v>
      </c>
      <c r="F30">
        <v>4</v>
      </c>
      <c r="G30" s="1">
        <v>1243</v>
      </c>
      <c r="H30" s="1">
        <v>1203</v>
      </c>
      <c r="I30">
        <v>426</v>
      </c>
      <c r="J30">
        <v>28</v>
      </c>
    </row>
    <row r="31" spans="1:10" x14ac:dyDescent="0.2">
      <c r="A31">
        <v>1992</v>
      </c>
      <c r="B31" s="1">
        <v>2571</v>
      </c>
      <c r="C31">
        <v>0</v>
      </c>
      <c r="D31">
        <v>0</v>
      </c>
      <c r="E31">
        <v>0</v>
      </c>
      <c r="F31">
        <v>1</v>
      </c>
      <c r="G31" s="1">
        <v>1120</v>
      </c>
      <c r="H31" s="1">
        <v>1069</v>
      </c>
      <c r="I31">
        <v>347</v>
      </c>
      <c r="J31">
        <v>34</v>
      </c>
    </row>
    <row r="32" spans="1:10" x14ac:dyDescent="0.2">
      <c r="A32">
        <v>1991</v>
      </c>
      <c r="B32" s="1">
        <v>2427</v>
      </c>
      <c r="C32">
        <v>0</v>
      </c>
      <c r="D32">
        <v>0</v>
      </c>
      <c r="E32">
        <v>0</v>
      </c>
      <c r="F32">
        <v>3</v>
      </c>
      <c r="G32" s="1">
        <v>1054</v>
      </c>
      <c r="H32" s="1">
        <v>1050</v>
      </c>
      <c r="I32">
        <v>300</v>
      </c>
      <c r="J32">
        <v>20</v>
      </c>
    </row>
    <row r="33" spans="1:10" x14ac:dyDescent="0.2">
      <c r="A33">
        <v>1990</v>
      </c>
      <c r="B33" s="1">
        <v>2123</v>
      </c>
      <c r="C33">
        <v>0</v>
      </c>
      <c r="D33">
        <v>0</v>
      </c>
      <c r="E33">
        <v>0</v>
      </c>
      <c r="F33">
        <v>5</v>
      </c>
      <c r="G33">
        <v>961</v>
      </c>
      <c r="H33">
        <v>852</v>
      </c>
      <c r="I33">
        <v>279</v>
      </c>
      <c r="J33">
        <v>26</v>
      </c>
    </row>
    <row r="34" spans="1:10" x14ac:dyDescent="0.2">
      <c r="A34">
        <v>1989</v>
      </c>
      <c r="B34" s="1">
        <v>1918</v>
      </c>
      <c r="C34">
        <v>0</v>
      </c>
      <c r="D34">
        <v>0</v>
      </c>
      <c r="E34">
        <v>0</v>
      </c>
      <c r="F34">
        <v>4</v>
      </c>
      <c r="G34">
        <v>870</v>
      </c>
      <c r="H34">
        <v>757</v>
      </c>
      <c r="I34">
        <v>267</v>
      </c>
      <c r="J34">
        <v>20</v>
      </c>
    </row>
    <row r="35" spans="1:10" x14ac:dyDescent="0.2">
      <c r="A35">
        <v>1988</v>
      </c>
      <c r="B35" s="1">
        <v>1829</v>
      </c>
      <c r="C35">
        <v>0</v>
      </c>
      <c r="D35">
        <v>0</v>
      </c>
      <c r="E35">
        <v>0</v>
      </c>
      <c r="F35">
        <v>6</v>
      </c>
      <c r="G35">
        <v>872</v>
      </c>
      <c r="H35">
        <v>717</v>
      </c>
      <c r="I35">
        <v>222</v>
      </c>
      <c r="J35">
        <v>12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8051D-CDF3-B04E-BBA4-EA31D28AC938}">
  <dimension ref="A1:L35"/>
  <sheetViews>
    <sheetView topLeftCell="C1" workbookViewId="0">
      <selection activeCell="M1" sqref="M1"/>
    </sheetView>
  </sheetViews>
  <sheetFormatPr baseColWidth="10" defaultRowHeight="16" x14ac:dyDescent="0.2"/>
  <cols>
    <col min="2" max="2" width="17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tr" cm="1">
        <f t="array" ref="K1:K35">VLOOKUP(A1:A35,[1]Columns!$A$1:$D$35, 3, 0)</f>
        <v>Male</v>
      </c>
      <c r="L1" t="str" cm="1">
        <f t="array" ref="L1:L35">VLOOKUP(A1:A35,[1]Columns!$A$1:$D$35, 4, 0)</f>
        <v>Female</v>
      </c>
    </row>
    <row r="2" spans="1:12" x14ac:dyDescent="0.2">
      <c r="A2">
        <v>2021</v>
      </c>
      <c r="B2">
        <v>430</v>
      </c>
      <c r="C2">
        <v>0</v>
      </c>
      <c r="D2">
        <v>0</v>
      </c>
      <c r="E2">
        <v>0</v>
      </c>
      <c r="F2">
        <v>1</v>
      </c>
      <c r="G2">
        <v>126</v>
      </c>
      <c r="H2">
        <v>167</v>
      </c>
      <c r="I2">
        <v>114</v>
      </c>
      <c r="J2">
        <v>22</v>
      </c>
      <c r="K2">
        <v>158</v>
      </c>
      <c r="L2">
        <v>272</v>
      </c>
    </row>
    <row r="3" spans="1:12" x14ac:dyDescent="0.2">
      <c r="A3">
        <v>2020</v>
      </c>
      <c r="B3" s="1">
        <v>5728</v>
      </c>
      <c r="C3">
        <v>0</v>
      </c>
      <c r="D3">
        <v>0</v>
      </c>
      <c r="E3">
        <v>0</v>
      </c>
      <c r="F3">
        <v>0</v>
      </c>
      <c r="G3" s="1">
        <v>1597</v>
      </c>
      <c r="H3" s="1">
        <v>2135</v>
      </c>
      <c r="I3" s="1">
        <v>1690</v>
      </c>
      <c r="J3">
        <v>302</v>
      </c>
      <c r="K3">
        <v>2032</v>
      </c>
      <c r="L3">
        <v>3696</v>
      </c>
    </row>
    <row r="4" spans="1:12" x14ac:dyDescent="0.2">
      <c r="A4">
        <v>2019</v>
      </c>
      <c r="B4" s="1">
        <v>7383</v>
      </c>
      <c r="C4">
        <v>0</v>
      </c>
      <c r="D4">
        <v>0</v>
      </c>
      <c r="E4">
        <v>0</v>
      </c>
      <c r="F4">
        <v>1</v>
      </c>
      <c r="G4" s="1">
        <v>2020</v>
      </c>
      <c r="H4" s="1">
        <v>2887</v>
      </c>
      <c r="I4" s="1">
        <v>2120</v>
      </c>
      <c r="J4">
        <v>354</v>
      </c>
      <c r="K4">
        <v>2638</v>
      </c>
      <c r="L4">
        <v>4745</v>
      </c>
    </row>
    <row r="5" spans="1:12" x14ac:dyDescent="0.2">
      <c r="A5">
        <v>2018</v>
      </c>
      <c r="B5" s="1">
        <v>6848</v>
      </c>
      <c r="C5">
        <v>0</v>
      </c>
      <c r="D5">
        <v>0</v>
      </c>
      <c r="E5">
        <v>0</v>
      </c>
      <c r="F5">
        <v>1</v>
      </c>
      <c r="G5" s="1">
        <v>1840</v>
      </c>
      <c r="H5" s="1">
        <v>2722</v>
      </c>
      <c r="I5" s="1">
        <v>1952</v>
      </c>
      <c r="J5">
        <v>332</v>
      </c>
      <c r="K5">
        <v>2538</v>
      </c>
      <c r="L5">
        <v>4310</v>
      </c>
    </row>
    <row r="6" spans="1:12" x14ac:dyDescent="0.2">
      <c r="A6">
        <v>2017</v>
      </c>
      <c r="B6" s="1">
        <v>6182</v>
      </c>
      <c r="C6">
        <v>0</v>
      </c>
      <c r="D6">
        <v>0</v>
      </c>
      <c r="E6">
        <v>0</v>
      </c>
      <c r="F6">
        <v>2</v>
      </c>
      <c r="G6" s="1">
        <v>1740</v>
      </c>
      <c r="H6" s="1">
        <v>2413</v>
      </c>
      <c r="I6" s="1">
        <v>1784</v>
      </c>
      <c r="J6">
        <v>242</v>
      </c>
      <c r="K6">
        <v>2322</v>
      </c>
      <c r="L6">
        <v>3860</v>
      </c>
    </row>
    <row r="7" spans="1:12" x14ac:dyDescent="0.2">
      <c r="A7">
        <v>2016</v>
      </c>
      <c r="B7" s="1">
        <v>5975</v>
      </c>
      <c r="C7">
        <v>0</v>
      </c>
      <c r="D7">
        <v>0</v>
      </c>
      <c r="E7">
        <v>1</v>
      </c>
      <c r="F7">
        <v>1</v>
      </c>
      <c r="G7" s="1">
        <v>1751</v>
      </c>
      <c r="H7" s="1">
        <v>2318</v>
      </c>
      <c r="I7" s="1">
        <v>1711</v>
      </c>
      <c r="J7">
        <v>192</v>
      </c>
      <c r="K7">
        <v>2221</v>
      </c>
      <c r="L7">
        <v>3754</v>
      </c>
    </row>
    <row r="8" spans="1:12" x14ac:dyDescent="0.2">
      <c r="A8">
        <v>2015</v>
      </c>
      <c r="B8" s="1">
        <v>5989</v>
      </c>
      <c r="C8">
        <v>0</v>
      </c>
      <c r="D8">
        <v>0</v>
      </c>
      <c r="E8">
        <v>0</v>
      </c>
      <c r="F8">
        <v>2</v>
      </c>
      <c r="G8" s="1">
        <v>1731</v>
      </c>
      <c r="H8" s="1">
        <v>2355</v>
      </c>
      <c r="I8" s="1">
        <v>1690</v>
      </c>
      <c r="J8">
        <v>204</v>
      </c>
      <c r="K8">
        <v>2235</v>
      </c>
      <c r="L8">
        <v>3754</v>
      </c>
    </row>
    <row r="9" spans="1:12" x14ac:dyDescent="0.2">
      <c r="A9">
        <v>2014</v>
      </c>
      <c r="B9" s="1">
        <v>5820</v>
      </c>
      <c r="C9">
        <v>0</v>
      </c>
      <c r="D9">
        <v>0</v>
      </c>
      <c r="E9">
        <v>0</v>
      </c>
      <c r="F9">
        <v>2</v>
      </c>
      <c r="G9" s="1">
        <v>1762</v>
      </c>
      <c r="H9" s="1">
        <v>2368</v>
      </c>
      <c r="I9" s="1">
        <v>1527</v>
      </c>
      <c r="J9">
        <v>160</v>
      </c>
      <c r="K9">
        <v>2190</v>
      </c>
      <c r="L9">
        <v>3630</v>
      </c>
    </row>
    <row r="10" spans="1:12" x14ac:dyDescent="0.2">
      <c r="A10">
        <v>2013</v>
      </c>
      <c r="B10" s="1">
        <v>5989</v>
      </c>
      <c r="C10">
        <v>0</v>
      </c>
      <c r="D10">
        <v>0</v>
      </c>
      <c r="E10">
        <v>0</v>
      </c>
      <c r="F10">
        <v>0</v>
      </c>
      <c r="G10" s="1">
        <v>1846</v>
      </c>
      <c r="H10" s="1">
        <v>2440</v>
      </c>
      <c r="I10" s="1">
        <v>1583</v>
      </c>
      <c r="J10">
        <v>120</v>
      </c>
      <c r="K10">
        <v>2336</v>
      </c>
      <c r="L10">
        <v>3653</v>
      </c>
    </row>
    <row r="11" spans="1:12" x14ac:dyDescent="0.2">
      <c r="A11">
        <v>2012</v>
      </c>
      <c r="B11" s="1">
        <v>5867</v>
      </c>
      <c r="C11">
        <v>0</v>
      </c>
      <c r="D11">
        <v>0</v>
      </c>
      <c r="E11">
        <v>0</v>
      </c>
      <c r="F11">
        <v>2</v>
      </c>
      <c r="G11" s="1">
        <v>1774</v>
      </c>
      <c r="H11" s="1">
        <v>2452</v>
      </c>
      <c r="I11" s="1">
        <v>1513</v>
      </c>
      <c r="J11">
        <v>126</v>
      </c>
      <c r="K11">
        <v>2224</v>
      </c>
      <c r="L11">
        <v>3643</v>
      </c>
    </row>
    <row r="12" spans="1:12" x14ac:dyDescent="0.2">
      <c r="A12">
        <v>2011</v>
      </c>
      <c r="B12" s="1">
        <v>6023</v>
      </c>
      <c r="C12">
        <v>0</v>
      </c>
      <c r="D12">
        <v>0</v>
      </c>
      <c r="E12">
        <v>0</v>
      </c>
      <c r="F12">
        <v>1</v>
      </c>
      <c r="G12" s="1">
        <v>1769</v>
      </c>
      <c r="H12" s="1">
        <v>2535</v>
      </c>
      <c r="I12" s="1">
        <v>1621</v>
      </c>
      <c r="J12">
        <v>97</v>
      </c>
      <c r="K12">
        <v>2339</v>
      </c>
      <c r="L12">
        <v>3684</v>
      </c>
    </row>
    <row r="13" spans="1:12" x14ac:dyDescent="0.2">
      <c r="A13">
        <v>2010</v>
      </c>
      <c r="B13" s="1">
        <v>6562</v>
      </c>
      <c r="C13">
        <v>0</v>
      </c>
      <c r="D13">
        <v>0</v>
      </c>
      <c r="E13">
        <v>2</v>
      </c>
      <c r="F13">
        <v>4</v>
      </c>
      <c r="G13" s="1">
        <v>2041</v>
      </c>
      <c r="H13" s="1">
        <v>2758</v>
      </c>
      <c r="I13" s="1">
        <v>1636</v>
      </c>
      <c r="J13">
        <v>121</v>
      </c>
      <c r="K13">
        <v>2492</v>
      </c>
      <c r="L13">
        <v>4070</v>
      </c>
    </row>
    <row r="14" spans="1:12" x14ac:dyDescent="0.2">
      <c r="A14">
        <v>2009</v>
      </c>
      <c r="B14" s="1">
        <v>6610</v>
      </c>
      <c r="C14">
        <v>0</v>
      </c>
      <c r="D14">
        <v>1</v>
      </c>
      <c r="E14">
        <v>0</v>
      </c>
      <c r="F14">
        <v>0</v>
      </c>
      <c r="G14" s="1">
        <v>2030</v>
      </c>
      <c r="H14" s="1">
        <v>2839</v>
      </c>
      <c r="I14" s="1">
        <v>1633</v>
      </c>
      <c r="J14">
        <v>107</v>
      </c>
      <c r="K14">
        <v>2617</v>
      </c>
      <c r="L14">
        <v>3993</v>
      </c>
    </row>
    <row r="15" spans="1:12" x14ac:dyDescent="0.2">
      <c r="A15">
        <v>2008</v>
      </c>
      <c r="B15" s="1">
        <v>6218</v>
      </c>
      <c r="C15">
        <v>0</v>
      </c>
      <c r="D15">
        <v>0</v>
      </c>
      <c r="E15">
        <v>0</v>
      </c>
      <c r="F15">
        <v>0</v>
      </c>
      <c r="G15" s="1">
        <v>1969</v>
      </c>
      <c r="H15" s="1">
        <v>2688</v>
      </c>
      <c r="I15" s="1">
        <v>1471</v>
      </c>
      <c r="J15">
        <v>90</v>
      </c>
      <c r="K15">
        <v>2477</v>
      </c>
      <c r="L15">
        <v>3741</v>
      </c>
    </row>
    <row r="16" spans="1:12" x14ac:dyDescent="0.2">
      <c r="A16">
        <v>2007</v>
      </c>
      <c r="B16" s="1">
        <v>6315</v>
      </c>
      <c r="C16">
        <v>0</v>
      </c>
      <c r="D16">
        <v>0</v>
      </c>
      <c r="E16">
        <v>1</v>
      </c>
      <c r="F16">
        <v>1</v>
      </c>
      <c r="G16" s="1">
        <v>1987</v>
      </c>
      <c r="H16" s="1">
        <v>2790</v>
      </c>
      <c r="I16" s="1">
        <v>1456</v>
      </c>
      <c r="J16">
        <v>80</v>
      </c>
      <c r="K16">
        <v>2673</v>
      </c>
      <c r="L16">
        <v>3642</v>
      </c>
    </row>
    <row r="17" spans="1:12" x14ac:dyDescent="0.2">
      <c r="A17">
        <v>2006</v>
      </c>
      <c r="B17" s="1">
        <v>6733</v>
      </c>
      <c r="C17">
        <v>2</v>
      </c>
      <c r="D17">
        <v>0</v>
      </c>
      <c r="E17">
        <v>0</v>
      </c>
      <c r="F17">
        <v>1</v>
      </c>
      <c r="G17" s="1">
        <v>2180</v>
      </c>
      <c r="H17" s="1">
        <v>3045</v>
      </c>
      <c r="I17" s="1">
        <v>1433</v>
      </c>
      <c r="J17">
        <v>72</v>
      </c>
      <c r="K17">
        <v>2777</v>
      </c>
      <c r="L17">
        <v>3956</v>
      </c>
    </row>
    <row r="18" spans="1:12" x14ac:dyDescent="0.2">
      <c r="A18">
        <v>2005</v>
      </c>
      <c r="B18" s="1">
        <v>6904</v>
      </c>
      <c r="C18">
        <v>0</v>
      </c>
      <c r="D18">
        <v>0</v>
      </c>
      <c r="E18">
        <v>0</v>
      </c>
      <c r="F18">
        <v>0</v>
      </c>
      <c r="G18" s="1">
        <v>2221</v>
      </c>
      <c r="H18" s="1">
        <v>3246</v>
      </c>
      <c r="I18" s="1">
        <v>1379</v>
      </c>
      <c r="J18">
        <v>58</v>
      </c>
      <c r="K18">
        <v>2825</v>
      </c>
      <c r="L18">
        <v>4079</v>
      </c>
    </row>
    <row r="19" spans="1:12" x14ac:dyDescent="0.2">
      <c r="A19">
        <v>2004</v>
      </c>
      <c r="B19" s="1">
        <v>7005</v>
      </c>
      <c r="C19">
        <v>0</v>
      </c>
      <c r="D19">
        <v>0</v>
      </c>
      <c r="E19">
        <v>0</v>
      </c>
      <c r="F19">
        <v>0</v>
      </c>
      <c r="G19" s="1">
        <v>2359</v>
      </c>
      <c r="H19" s="1">
        <v>3228</v>
      </c>
      <c r="I19" s="1">
        <v>1361</v>
      </c>
      <c r="J19">
        <v>57</v>
      </c>
      <c r="K19">
        <v>2980</v>
      </c>
      <c r="L19">
        <v>4025</v>
      </c>
    </row>
    <row r="20" spans="1:12" x14ac:dyDescent="0.2">
      <c r="A20">
        <v>2003</v>
      </c>
      <c r="B20" s="1">
        <v>6828</v>
      </c>
      <c r="C20">
        <v>0</v>
      </c>
      <c r="D20">
        <v>0</v>
      </c>
      <c r="E20">
        <v>0</v>
      </c>
      <c r="F20">
        <v>1</v>
      </c>
      <c r="G20" s="1">
        <v>2286</v>
      </c>
      <c r="H20" s="1">
        <v>3223</v>
      </c>
      <c r="I20" s="1">
        <v>1252</v>
      </c>
      <c r="J20">
        <v>66</v>
      </c>
      <c r="K20">
        <v>2844</v>
      </c>
      <c r="L20">
        <v>3984</v>
      </c>
    </row>
    <row r="21" spans="1:12" x14ac:dyDescent="0.2">
      <c r="A21">
        <v>2002</v>
      </c>
      <c r="B21" s="1">
        <v>6631</v>
      </c>
      <c r="C21">
        <v>0</v>
      </c>
      <c r="D21">
        <v>0</v>
      </c>
      <c r="E21">
        <v>0</v>
      </c>
      <c r="F21">
        <v>2</v>
      </c>
      <c r="G21" s="1">
        <v>2237</v>
      </c>
      <c r="H21" s="1">
        <v>3097</v>
      </c>
      <c r="I21" s="1">
        <v>1234</v>
      </c>
      <c r="J21">
        <v>61</v>
      </c>
      <c r="K21">
        <v>2802</v>
      </c>
      <c r="L21">
        <v>3829</v>
      </c>
    </row>
    <row r="22" spans="1:12" x14ac:dyDescent="0.2">
      <c r="A22">
        <v>2001</v>
      </c>
      <c r="B22" s="1">
        <v>6622</v>
      </c>
      <c r="C22">
        <v>0</v>
      </c>
      <c r="D22">
        <v>0</v>
      </c>
      <c r="E22">
        <v>0</v>
      </c>
      <c r="F22">
        <v>1</v>
      </c>
      <c r="G22" s="1">
        <v>2310</v>
      </c>
      <c r="H22" s="1">
        <v>3074</v>
      </c>
      <c r="I22" s="1">
        <v>1167</v>
      </c>
      <c r="J22">
        <v>70</v>
      </c>
      <c r="K22">
        <v>2796</v>
      </c>
      <c r="L22">
        <v>3826</v>
      </c>
    </row>
    <row r="23" spans="1:12" x14ac:dyDescent="0.2">
      <c r="A23">
        <v>2000</v>
      </c>
      <c r="B23" s="1">
        <v>5957</v>
      </c>
      <c r="C23">
        <v>0</v>
      </c>
      <c r="D23">
        <v>0</v>
      </c>
      <c r="E23">
        <v>1</v>
      </c>
      <c r="F23">
        <v>1</v>
      </c>
      <c r="G23" s="1">
        <v>2047</v>
      </c>
      <c r="H23" s="1">
        <v>2820</v>
      </c>
      <c r="I23" s="1">
        <v>1033</v>
      </c>
      <c r="J23">
        <v>52</v>
      </c>
      <c r="K23">
        <v>2608</v>
      </c>
      <c r="L23">
        <v>3349</v>
      </c>
    </row>
    <row r="24" spans="1:12" x14ac:dyDescent="0.2">
      <c r="A24">
        <v>1999</v>
      </c>
      <c r="B24" s="1">
        <v>5048</v>
      </c>
      <c r="C24">
        <v>0</v>
      </c>
      <c r="D24">
        <v>0</v>
      </c>
      <c r="E24">
        <v>0</v>
      </c>
      <c r="F24">
        <v>0</v>
      </c>
      <c r="G24" s="1">
        <v>1772</v>
      </c>
      <c r="H24" s="1">
        <v>2350</v>
      </c>
      <c r="I24">
        <v>882</v>
      </c>
      <c r="J24">
        <v>41</v>
      </c>
      <c r="K24">
        <v>2161</v>
      </c>
      <c r="L24">
        <v>2886</v>
      </c>
    </row>
    <row r="25" spans="1:12" x14ac:dyDescent="0.2">
      <c r="A25">
        <v>1998</v>
      </c>
      <c r="B25" s="1">
        <v>4569</v>
      </c>
      <c r="C25">
        <v>0</v>
      </c>
      <c r="D25">
        <v>0</v>
      </c>
      <c r="E25">
        <v>1</v>
      </c>
      <c r="F25">
        <v>5</v>
      </c>
      <c r="G25" s="1">
        <v>1615</v>
      </c>
      <c r="H25" s="1">
        <v>2093</v>
      </c>
      <c r="I25">
        <v>801</v>
      </c>
      <c r="J25">
        <v>53</v>
      </c>
      <c r="K25">
        <v>1943</v>
      </c>
      <c r="L25">
        <v>2626</v>
      </c>
    </row>
    <row r="26" spans="1:12" x14ac:dyDescent="0.2">
      <c r="A26">
        <v>1997</v>
      </c>
      <c r="B26" s="1">
        <v>4067</v>
      </c>
      <c r="C26">
        <v>0</v>
      </c>
      <c r="D26">
        <v>0</v>
      </c>
      <c r="E26">
        <v>0</v>
      </c>
      <c r="F26">
        <v>1</v>
      </c>
      <c r="G26" s="1">
        <v>1558</v>
      </c>
      <c r="H26" s="1">
        <v>1807</v>
      </c>
      <c r="I26">
        <v>653</v>
      </c>
      <c r="J26">
        <v>47</v>
      </c>
      <c r="K26">
        <v>1756</v>
      </c>
      <c r="L26">
        <v>2311</v>
      </c>
    </row>
    <row r="27" spans="1:12" x14ac:dyDescent="0.2">
      <c r="A27">
        <v>1996</v>
      </c>
      <c r="B27" s="1">
        <v>3804</v>
      </c>
      <c r="C27">
        <v>0</v>
      </c>
      <c r="D27">
        <v>0</v>
      </c>
      <c r="E27">
        <v>0</v>
      </c>
      <c r="F27">
        <v>7</v>
      </c>
      <c r="G27" s="1">
        <v>1428</v>
      </c>
      <c r="H27" s="1">
        <v>1761</v>
      </c>
      <c r="I27">
        <v>570</v>
      </c>
      <c r="J27">
        <v>36</v>
      </c>
      <c r="K27">
        <v>1591</v>
      </c>
      <c r="L27">
        <v>2213</v>
      </c>
    </row>
    <row r="28" spans="1:12" x14ac:dyDescent="0.2">
      <c r="A28">
        <v>1995</v>
      </c>
      <c r="B28" s="1">
        <v>3496</v>
      </c>
      <c r="C28">
        <v>0</v>
      </c>
      <c r="D28">
        <v>0</v>
      </c>
      <c r="E28">
        <v>0</v>
      </c>
      <c r="F28">
        <v>3</v>
      </c>
      <c r="G28" s="1">
        <v>1320</v>
      </c>
      <c r="H28" s="1">
        <v>1610</v>
      </c>
      <c r="I28">
        <v>525</v>
      </c>
      <c r="J28">
        <v>37</v>
      </c>
      <c r="K28">
        <v>1479</v>
      </c>
      <c r="L28">
        <v>2017</v>
      </c>
    </row>
    <row r="29" spans="1:12" x14ac:dyDescent="0.2">
      <c r="A29">
        <v>1994</v>
      </c>
      <c r="B29" s="1">
        <v>3104</v>
      </c>
      <c r="C29">
        <v>0</v>
      </c>
      <c r="D29">
        <v>0</v>
      </c>
      <c r="E29">
        <v>0</v>
      </c>
      <c r="F29">
        <v>3</v>
      </c>
      <c r="G29" s="1">
        <v>1279</v>
      </c>
      <c r="H29" s="1">
        <v>1346</v>
      </c>
      <c r="I29">
        <v>443</v>
      </c>
      <c r="J29">
        <v>32</v>
      </c>
      <c r="K29">
        <v>1378</v>
      </c>
      <c r="L29">
        <v>1726</v>
      </c>
    </row>
    <row r="30" spans="1:12" x14ac:dyDescent="0.2">
      <c r="A30">
        <v>1993</v>
      </c>
      <c r="B30" s="1">
        <v>2905</v>
      </c>
      <c r="C30">
        <v>0</v>
      </c>
      <c r="D30">
        <v>1</v>
      </c>
      <c r="E30">
        <v>0</v>
      </c>
      <c r="F30">
        <v>4</v>
      </c>
      <c r="G30" s="1">
        <v>1243</v>
      </c>
      <c r="H30" s="1">
        <v>1203</v>
      </c>
      <c r="I30">
        <v>426</v>
      </c>
      <c r="J30">
        <v>28</v>
      </c>
      <c r="K30">
        <v>1265</v>
      </c>
      <c r="L30">
        <v>1640</v>
      </c>
    </row>
    <row r="31" spans="1:12" x14ac:dyDescent="0.2">
      <c r="A31">
        <v>1992</v>
      </c>
      <c r="B31" s="1">
        <v>2571</v>
      </c>
      <c r="C31">
        <v>0</v>
      </c>
      <c r="D31">
        <v>0</v>
      </c>
      <c r="E31">
        <v>0</v>
      </c>
      <c r="F31">
        <v>1</v>
      </c>
      <c r="G31" s="1">
        <v>1120</v>
      </c>
      <c r="H31" s="1">
        <v>1069</v>
      </c>
      <c r="I31">
        <v>347</v>
      </c>
      <c r="J31">
        <v>34</v>
      </c>
      <c r="K31">
        <v>1133</v>
      </c>
      <c r="L31">
        <v>1438</v>
      </c>
    </row>
    <row r="32" spans="1:12" x14ac:dyDescent="0.2">
      <c r="A32">
        <v>1991</v>
      </c>
      <c r="B32" s="1">
        <v>2427</v>
      </c>
      <c r="C32">
        <v>0</v>
      </c>
      <c r="D32">
        <v>0</v>
      </c>
      <c r="E32">
        <v>0</v>
      </c>
      <c r="F32">
        <v>3</v>
      </c>
      <c r="G32" s="1">
        <v>1054</v>
      </c>
      <c r="H32" s="1">
        <v>1050</v>
      </c>
      <c r="I32">
        <v>300</v>
      </c>
      <c r="J32">
        <v>20</v>
      </c>
      <c r="K32">
        <v>1078</v>
      </c>
      <c r="L32">
        <v>1349</v>
      </c>
    </row>
    <row r="33" spans="1:12" x14ac:dyDescent="0.2">
      <c r="A33">
        <v>1990</v>
      </c>
      <c r="B33" s="1">
        <v>2123</v>
      </c>
      <c r="C33">
        <v>0</v>
      </c>
      <c r="D33">
        <v>0</v>
      </c>
      <c r="E33">
        <v>0</v>
      </c>
      <c r="F33">
        <v>5</v>
      </c>
      <c r="G33">
        <v>961</v>
      </c>
      <c r="H33">
        <v>852</v>
      </c>
      <c r="I33">
        <v>279</v>
      </c>
      <c r="J33">
        <v>26</v>
      </c>
      <c r="K33">
        <v>940</v>
      </c>
      <c r="L33">
        <v>1183</v>
      </c>
    </row>
    <row r="34" spans="1:12" x14ac:dyDescent="0.2">
      <c r="A34">
        <v>1989</v>
      </c>
      <c r="B34" s="1">
        <v>1918</v>
      </c>
      <c r="C34">
        <v>0</v>
      </c>
      <c r="D34">
        <v>0</v>
      </c>
      <c r="E34">
        <v>0</v>
      </c>
      <c r="F34">
        <v>4</v>
      </c>
      <c r="G34">
        <v>870</v>
      </c>
      <c r="H34">
        <v>757</v>
      </c>
      <c r="I34">
        <v>267</v>
      </c>
      <c r="J34">
        <v>20</v>
      </c>
      <c r="K34">
        <v>872</v>
      </c>
      <c r="L34">
        <v>1046</v>
      </c>
    </row>
    <row r="35" spans="1:12" x14ac:dyDescent="0.2">
      <c r="A35">
        <v>1988</v>
      </c>
      <c r="B35" s="1">
        <v>1829</v>
      </c>
      <c r="C35">
        <v>0</v>
      </c>
      <c r="D35">
        <v>0</v>
      </c>
      <c r="E35">
        <v>0</v>
      </c>
      <c r="F35">
        <v>6</v>
      </c>
      <c r="G35">
        <v>872</v>
      </c>
      <c r="H35">
        <v>717</v>
      </c>
      <c r="I35">
        <v>222</v>
      </c>
      <c r="J35">
        <v>12</v>
      </c>
      <c r="K35">
        <v>826</v>
      </c>
      <c r="L35">
        <v>1003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8F925-C039-9742-908F-8D2A3339035A}">
  <dimension ref="A1:I67"/>
  <sheetViews>
    <sheetView tabSelected="1" topLeftCell="A48" workbookViewId="0">
      <selection activeCell="B17" sqref="B17"/>
    </sheetView>
  </sheetViews>
  <sheetFormatPr baseColWidth="10" defaultRowHeight="16" x14ac:dyDescent="0.2"/>
  <sheetData>
    <row r="1" spans="1:9" x14ac:dyDescent="0.2">
      <c r="A1" t="s">
        <v>11</v>
      </c>
    </row>
    <row r="2" spans="1:9" ht="17" thickBot="1" x14ac:dyDescent="0.25"/>
    <row r="3" spans="1:9" x14ac:dyDescent="0.2">
      <c r="A3" s="7" t="s">
        <v>12</v>
      </c>
      <c r="B3" s="7"/>
    </row>
    <row r="4" spans="1:9" x14ac:dyDescent="0.2">
      <c r="A4" s="4" t="s">
        <v>13</v>
      </c>
      <c r="B4" s="4">
        <v>0.99999999648907223</v>
      </c>
    </row>
    <row r="5" spans="1:9" x14ac:dyDescent="0.2">
      <c r="A5" s="4" t="s">
        <v>14</v>
      </c>
      <c r="B5" s="4">
        <v>0.99999999297814446</v>
      </c>
    </row>
    <row r="6" spans="1:9" x14ac:dyDescent="0.2">
      <c r="A6" s="4" t="s">
        <v>15</v>
      </c>
      <c r="B6" s="4">
        <v>0.99999998992516392</v>
      </c>
    </row>
    <row r="7" spans="1:9" x14ac:dyDescent="0.2">
      <c r="A7" s="4" t="s">
        <v>16</v>
      </c>
      <c r="B7" s="4">
        <v>0.19030929134176108</v>
      </c>
    </row>
    <row r="8" spans="1:9" ht="17" thickBot="1" x14ac:dyDescent="0.25">
      <c r="A8" s="5" t="s">
        <v>17</v>
      </c>
      <c r="B8" s="5">
        <v>34</v>
      </c>
    </row>
    <row r="10" spans="1:9" ht="17" thickBot="1" x14ac:dyDescent="0.25">
      <c r="A10" t="s">
        <v>18</v>
      </c>
    </row>
    <row r="11" spans="1:9" x14ac:dyDescent="0.2">
      <c r="A11" s="6"/>
      <c r="B11" s="6" t="s">
        <v>23</v>
      </c>
      <c r="C11" s="6" t="s">
        <v>24</v>
      </c>
      <c r="D11" s="6" t="s">
        <v>25</v>
      </c>
      <c r="E11" s="6" t="s">
        <v>26</v>
      </c>
      <c r="F11" s="6" t="s">
        <v>27</v>
      </c>
    </row>
    <row r="12" spans="1:9" x14ac:dyDescent="0.2">
      <c r="A12" s="4" t="s">
        <v>19</v>
      </c>
      <c r="B12" s="4">
        <v>10</v>
      </c>
      <c r="C12" s="4">
        <v>118630383.04934752</v>
      </c>
      <c r="D12" s="4">
        <v>11863038.304934751</v>
      </c>
      <c r="E12" s="4">
        <v>327548751.63306075</v>
      </c>
      <c r="F12" s="14">
        <v>2.7097479696004202E-91</v>
      </c>
    </row>
    <row r="13" spans="1:9" x14ac:dyDescent="0.2">
      <c r="A13" s="4" t="s">
        <v>20</v>
      </c>
      <c r="B13" s="4">
        <v>23</v>
      </c>
      <c r="C13" s="4">
        <v>0.83300540653307598</v>
      </c>
      <c r="D13" s="4">
        <v>3.62176263710033E-2</v>
      </c>
      <c r="E13" s="4"/>
      <c r="F13" s="4"/>
    </row>
    <row r="14" spans="1:9" ht="17" thickBot="1" x14ac:dyDescent="0.25">
      <c r="A14" s="5" t="s">
        <v>21</v>
      </c>
      <c r="B14" s="5">
        <v>33</v>
      </c>
      <c r="C14" s="5">
        <v>118630383.88235293</v>
      </c>
      <c r="D14" s="5"/>
      <c r="E14" s="5"/>
      <c r="F14" s="5"/>
    </row>
    <row r="15" spans="1:9" ht="17" thickBot="1" x14ac:dyDescent="0.25"/>
    <row r="16" spans="1:9" x14ac:dyDescent="0.2">
      <c r="A16" s="6"/>
      <c r="B16" s="6" t="s">
        <v>28</v>
      </c>
      <c r="C16" s="6" t="s">
        <v>16</v>
      </c>
      <c r="D16" s="6" t="s">
        <v>29</v>
      </c>
      <c r="E16" s="6" t="s">
        <v>30</v>
      </c>
      <c r="F16" s="6" t="s">
        <v>31</v>
      </c>
      <c r="G16" s="6" t="s">
        <v>32</v>
      </c>
      <c r="H16" s="6" t="s">
        <v>33</v>
      </c>
      <c r="I16" s="6" t="s">
        <v>34</v>
      </c>
    </row>
    <row r="17" spans="1:9" x14ac:dyDescent="0.2">
      <c r="A17" s="4" t="s">
        <v>22</v>
      </c>
      <c r="B17" s="4">
        <v>0.12716357842100479</v>
      </c>
      <c r="C17" s="4">
        <v>0.19300010130253739</v>
      </c>
      <c r="D17" s="4">
        <v>0.65887829883399629</v>
      </c>
      <c r="E17" s="4">
        <v>0.51651652725541708</v>
      </c>
      <c r="F17" s="4">
        <v>-0.27208754995013662</v>
      </c>
      <c r="G17" s="4">
        <v>0.52641470679214619</v>
      </c>
      <c r="H17" s="4">
        <v>-0.27208754995013662</v>
      </c>
      <c r="I17" s="4">
        <v>0.52641470679214619</v>
      </c>
    </row>
    <row r="18" spans="1:9" x14ac:dyDescent="0.2">
      <c r="A18" s="4" t="s">
        <v>2</v>
      </c>
      <c r="B18" s="4">
        <v>-4.7263201935498191E-2</v>
      </c>
      <c r="C18" s="4">
        <v>0.10273166455847464</v>
      </c>
      <c r="D18" s="4">
        <v>-0.46006459779103526</v>
      </c>
      <c r="E18" s="4">
        <v>0.64978955971022223</v>
      </c>
      <c r="F18" s="4">
        <v>-0.25977984165540369</v>
      </c>
      <c r="G18" s="4">
        <v>0.16525343778440729</v>
      </c>
      <c r="H18" s="4">
        <v>-0.25977984165540369</v>
      </c>
      <c r="I18" s="4">
        <v>0.16525343778440729</v>
      </c>
    </row>
    <row r="19" spans="1:9" x14ac:dyDescent="0.2">
      <c r="A19" s="4" t="s">
        <v>3</v>
      </c>
      <c r="B19" s="4">
        <v>-4.0956931031983571E-2</v>
      </c>
      <c r="C19" s="4">
        <v>0.14625982107791219</v>
      </c>
      <c r="D19" s="4">
        <v>-0.28002858700453304</v>
      </c>
      <c r="E19" s="4">
        <v>0.7819586908672933</v>
      </c>
      <c r="F19" s="4">
        <v>-0.34351842300333507</v>
      </c>
      <c r="G19" s="4">
        <v>0.26160456093936796</v>
      </c>
      <c r="H19" s="4">
        <v>-0.34351842300333507</v>
      </c>
      <c r="I19" s="4">
        <v>0.26160456093936796</v>
      </c>
    </row>
    <row r="20" spans="1:9" x14ac:dyDescent="0.2">
      <c r="A20" s="4" t="s">
        <v>4</v>
      </c>
      <c r="B20" s="4">
        <v>-2.3645109107137307E-2</v>
      </c>
      <c r="C20" s="4">
        <v>8.7131199082621319E-2</v>
      </c>
      <c r="D20" s="4">
        <v>-0.27137362226263018</v>
      </c>
      <c r="E20" s="4">
        <v>0.78852452835621067</v>
      </c>
      <c r="F20" s="4">
        <v>-0.20388972719433915</v>
      </c>
      <c r="G20" s="4">
        <v>0.15659950898006456</v>
      </c>
      <c r="H20" s="4">
        <v>-0.20388972719433915</v>
      </c>
      <c r="I20" s="4">
        <v>0.15659950898006456</v>
      </c>
    </row>
    <row r="21" spans="1:9" x14ac:dyDescent="0.2">
      <c r="A21" s="4" t="s">
        <v>5</v>
      </c>
      <c r="B21" s="4">
        <v>-5.8240492281743474E-2</v>
      </c>
      <c r="C21" s="4">
        <v>3.6945238296572001E-2</v>
      </c>
      <c r="D21" s="4">
        <v>-1.5764005042876492</v>
      </c>
      <c r="E21" s="4">
        <v>0.12858974323907862</v>
      </c>
      <c r="F21" s="4">
        <v>-0.13466754065269246</v>
      </c>
      <c r="G21" s="4">
        <v>1.8186556089205504E-2</v>
      </c>
      <c r="H21" s="4">
        <v>-0.13466754065269246</v>
      </c>
      <c r="I21" s="4">
        <v>1.8186556089205504E-2</v>
      </c>
    </row>
    <row r="22" spans="1:9" x14ac:dyDescent="0.2">
      <c r="A22" s="4" t="s">
        <v>6</v>
      </c>
      <c r="B22" s="4">
        <v>-2.7906323379453236E-2</v>
      </c>
      <c r="C22" s="4">
        <v>2.5613424312326466E-2</v>
      </c>
      <c r="D22" s="4">
        <v>-1.0895194269679636</v>
      </c>
      <c r="E22" s="4">
        <v>0.28720910205594541</v>
      </c>
      <c r="F22" s="4">
        <v>-8.0891728512039685E-2</v>
      </c>
      <c r="G22" s="4">
        <v>2.5079081753133205E-2</v>
      </c>
      <c r="H22" s="4">
        <v>-8.0891728512039685E-2</v>
      </c>
      <c r="I22" s="4">
        <v>2.5079081753133205E-2</v>
      </c>
    </row>
    <row r="23" spans="1:9" x14ac:dyDescent="0.2">
      <c r="A23" s="4" t="s">
        <v>7</v>
      </c>
      <c r="B23" s="4">
        <v>-2.7829732838690426E-2</v>
      </c>
      <c r="C23" s="4">
        <v>2.5616514245207722E-2</v>
      </c>
      <c r="D23" s="4">
        <v>-1.0863981169450776</v>
      </c>
      <c r="E23" s="4">
        <v>0.28855815448874844</v>
      </c>
      <c r="F23" s="4">
        <v>-8.082152998444736E-2</v>
      </c>
      <c r="G23" s="4">
        <v>2.5162064307066509E-2</v>
      </c>
      <c r="H23" s="4">
        <v>-8.082152998444736E-2</v>
      </c>
      <c r="I23" s="4">
        <v>2.5162064307066509E-2</v>
      </c>
    </row>
    <row r="24" spans="1:9" x14ac:dyDescent="0.2">
      <c r="A24" s="4" t="s">
        <v>8</v>
      </c>
      <c r="B24" s="4">
        <v>-2.8094475175596517E-2</v>
      </c>
      <c r="C24" s="4">
        <v>2.5597118284415629E-2</v>
      </c>
      <c r="D24" s="4">
        <v>-1.0975639860484359</v>
      </c>
      <c r="E24" s="4">
        <v>0.28375312761422639</v>
      </c>
      <c r="F24" s="4">
        <v>-8.1046148719449498E-2</v>
      </c>
      <c r="G24" s="4">
        <v>2.4857198368256464E-2</v>
      </c>
      <c r="H24" s="4">
        <v>-8.1046148719449498E-2</v>
      </c>
      <c r="I24" s="4">
        <v>2.4857198368256464E-2</v>
      </c>
    </row>
    <row r="25" spans="1:9" x14ac:dyDescent="0.2">
      <c r="A25" s="4" t="s">
        <v>9</v>
      </c>
      <c r="B25" s="4">
        <v>-2.8123863299978822E-2</v>
      </c>
      <c r="C25" s="4">
        <v>2.5954103012462953E-2</v>
      </c>
      <c r="D25" s="4">
        <v>-1.0835998950329344</v>
      </c>
      <c r="E25" s="4">
        <v>0.28977143218713941</v>
      </c>
      <c r="F25" s="4">
        <v>-8.1814016018310273E-2</v>
      </c>
      <c r="G25" s="4">
        <v>2.5566289418352633E-2</v>
      </c>
      <c r="H25" s="4">
        <v>-8.1814016018310273E-2</v>
      </c>
      <c r="I25" s="4">
        <v>2.5566289418352633E-2</v>
      </c>
    </row>
    <row r="26" spans="1:9" x14ac:dyDescent="0.2">
      <c r="A26" s="4" t="s">
        <v>39</v>
      </c>
      <c r="B26" s="4">
        <v>1.0277828151749884</v>
      </c>
      <c r="C26" s="4">
        <v>2.5580832143843851E-2</v>
      </c>
      <c r="D26" s="4">
        <v>40.177849156573636</v>
      </c>
      <c r="E26" s="4">
        <v>8.254682614566671E-23</v>
      </c>
      <c r="F26" s="4">
        <v>0.97486483207977359</v>
      </c>
      <c r="G26" s="4">
        <v>1.0807007982702033</v>
      </c>
      <c r="H26" s="4">
        <v>0.97486483207977359</v>
      </c>
      <c r="I26" s="4">
        <v>1.0807007982702033</v>
      </c>
    </row>
    <row r="27" spans="1:9" ht="17" thickBot="1" x14ac:dyDescent="0.25">
      <c r="A27" s="5" t="s">
        <v>40</v>
      </c>
      <c r="B27" s="5">
        <v>1.0279914934585535</v>
      </c>
      <c r="C27" s="5">
        <v>2.5638318783622688E-2</v>
      </c>
      <c r="D27" s="5">
        <v>40.095901066462147</v>
      </c>
      <c r="E27" s="5">
        <v>8.6460754353062391E-23</v>
      </c>
      <c r="F27" s="5">
        <v>0.97495459018846276</v>
      </c>
      <c r="G27" s="5">
        <v>1.0810283967286443</v>
      </c>
      <c r="H27" s="5">
        <v>0.97495459018846276</v>
      </c>
      <c r="I27" s="5">
        <v>1.0810283967286443</v>
      </c>
    </row>
    <row r="31" spans="1:9" x14ac:dyDescent="0.2">
      <c r="A31" t="s">
        <v>35</v>
      </c>
    </row>
    <row r="32" spans="1:9" ht="17" thickBot="1" x14ac:dyDescent="0.25"/>
    <row r="33" spans="1:3" x14ac:dyDescent="0.2">
      <c r="A33" s="6" t="s">
        <v>36</v>
      </c>
      <c r="B33" s="6" t="s">
        <v>37</v>
      </c>
      <c r="C33" s="6" t="s">
        <v>38</v>
      </c>
    </row>
    <row r="34" spans="1:3" x14ac:dyDescent="0.2">
      <c r="A34" s="4">
        <v>1</v>
      </c>
      <c r="B34" s="4">
        <v>430.08703681202405</v>
      </c>
      <c r="C34" s="4">
        <v>-8.7036812024052779E-2</v>
      </c>
    </row>
    <row r="35" spans="1:3" x14ac:dyDescent="0.2">
      <c r="A35" s="4">
        <v>2</v>
      </c>
      <c r="B35" s="4">
        <v>5728.0824560258679</v>
      </c>
      <c r="C35" s="4">
        <v>-8.2456025867941207E-2</v>
      </c>
    </row>
    <row r="36" spans="1:3" x14ac:dyDescent="0.2">
      <c r="A36" s="4">
        <v>3</v>
      </c>
      <c r="B36" s="4">
        <v>7382.9482790663424</v>
      </c>
      <c r="C36" s="4">
        <v>5.1720933657634305E-2</v>
      </c>
    </row>
    <row r="37" spans="1:3" x14ac:dyDescent="0.2">
      <c r="A37" s="4">
        <v>4</v>
      </c>
      <c r="B37" s="4">
        <v>6847.9473388431579</v>
      </c>
      <c r="C37" s="4">
        <v>5.2661156842077617E-2</v>
      </c>
    </row>
    <row r="38" spans="1:3" x14ac:dyDescent="0.2">
      <c r="A38" s="4">
        <v>5</v>
      </c>
      <c r="B38" s="4">
        <v>6181.9328775283293</v>
      </c>
      <c r="C38" s="4">
        <v>6.7122471670700179E-2</v>
      </c>
    </row>
    <row r="39" spans="1:3" x14ac:dyDescent="0.2">
      <c r="A39" s="4">
        <v>6</v>
      </c>
      <c r="B39" s="4">
        <v>5974.9882551875417</v>
      </c>
      <c r="C39" s="4">
        <v>1.1744812458346132E-2</v>
      </c>
    </row>
    <row r="40" spans="1:3" x14ac:dyDescent="0.2">
      <c r="A40" s="4">
        <v>7</v>
      </c>
      <c r="B40" s="4">
        <v>5989.1235431884634</v>
      </c>
      <c r="C40" s="4">
        <v>-0.12354318846337264</v>
      </c>
    </row>
    <row r="41" spans="1:3" x14ac:dyDescent="0.2">
      <c r="A41" s="4">
        <v>8</v>
      </c>
      <c r="B41" s="4">
        <v>5819.9923382038833</v>
      </c>
      <c r="C41" s="4">
        <v>7.6617961167357862E-3</v>
      </c>
    </row>
    <row r="42" spans="1:3" x14ac:dyDescent="0.2">
      <c r="A42" s="4">
        <v>9</v>
      </c>
      <c r="B42" s="4">
        <v>5989.012706547448</v>
      </c>
      <c r="C42" s="4">
        <v>-1.2706547448033234E-2</v>
      </c>
    </row>
    <row r="43" spans="1:3" x14ac:dyDescent="0.2">
      <c r="A43" s="4">
        <v>10</v>
      </c>
      <c r="B43" s="4">
        <v>5866.9778039004477</v>
      </c>
      <c r="C43" s="4">
        <v>2.2196099552274973E-2</v>
      </c>
    </row>
    <row r="44" spans="1:3" x14ac:dyDescent="0.2">
      <c r="A44" s="4">
        <v>11</v>
      </c>
      <c r="B44" s="4">
        <v>6022.9897718776756</v>
      </c>
      <c r="C44" s="4">
        <v>1.0228122324406286E-2</v>
      </c>
    </row>
    <row r="45" spans="1:3" x14ac:dyDescent="0.2">
      <c r="A45" s="4">
        <v>12</v>
      </c>
      <c r="B45" s="4">
        <v>6561.9303071503182</v>
      </c>
      <c r="C45" s="4">
        <v>6.969284968181455E-2</v>
      </c>
    </row>
    <row r="46" spans="1:3" x14ac:dyDescent="0.2">
      <c r="A46" s="4">
        <v>13</v>
      </c>
      <c r="B46" s="4">
        <v>6610.0178880161584</v>
      </c>
      <c r="C46" s="4">
        <v>-1.7888016158394748E-2</v>
      </c>
    </row>
    <row r="47" spans="1:3" x14ac:dyDescent="0.2">
      <c r="A47" s="4">
        <v>14</v>
      </c>
      <c r="B47" s="4">
        <v>6218.0493805104725</v>
      </c>
      <c r="C47" s="4">
        <v>-4.9380510472474271E-2</v>
      </c>
    </row>
    <row r="48" spans="1:3" x14ac:dyDescent="0.2">
      <c r="A48" s="4">
        <v>15</v>
      </c>
      <c r="B48" s="4">
        <v>6315.0034780212409</v>
      </c>
      <c r="C48" s="4">
        <v>-3.47802124088048E-3</v>
      </c>
    </row>
    <row r="49" spans="1:3" x14ac:dyDescent="0.2">
      <c r="A49" s="4">
        <v>16</v>
      </c>
      <c r="B49" s="4">
        <v>6733</v>
      </c>
      <c r="C49" s="4">
        <v>0</v>
      </c>
    </row>
    <row r="50" spans="1:3" x14ac:dyDescent="0.2">
      <c r="A50" s="4">
        <v>17</v>
      </c>
      <c r="B50" s="4">
        <v>6904.1021959065019</v>
      </c>
      <c r="C50" s="4">
        <v>-0.10219590650194732</v>
      </c>
    </row>
    <row r="51" spans="1:3" x14ac:dyDescent="0.2">
      <c r="A51" s="4">
        <v>18</v>
      </c>
      <c r="B51" s="4">
        <v>7005.0806785930554</v>
      </c>
      <c r="C51" s="4">
        <v>-8.0678593055381498E-2</v>
      </c>
    </row>
    <row r="52" spans="1:3" x14ac:dyDescent="0.2">
      <c r="A52" s="4">
        <v>19</v>
      </c>
      <c r="B52" s="4">
        <v>6828.0818173005082</v>
      </c>
      <c r="C52" s="4">
        <v>-8.1817300508191693E-2</v>
      </c>
    </row>
    <row r="53" spans="1:3" x14ac:dyDescent="0.2">
      <c r="A53" s="4">
        <v>20</v>
      </c>
      <c r="B53" s="4">
        <v>6631.0382931377299</v>
      </c>
      <c r="C53" s="4">
        <v>-3.8293137729851878E-2</v>
      </c>
    </row>
    <row r="54" spans="1:3" x14ac:dyDescent="0.2">
      <c r="A54" s="4">
        <v>21</v>
      </c>
      <c r="B54" s="4">
        <v>6622.0779995742414</v>
      </c>
      <c r="C54" s="4">
        <v>-7.7999574241403025E-2</v>
      </c>
    </row>
    <row r="55" spans="1:3" x14ac:dyDescent="0.2">
      <c r="A55" s="4">
        <v>22</v>
      </c>
      <c r="B55" s="4">
        <v>5957.1582472352593</v>
      </c>
      <c r="C55" s="4">
        <v>-0.15824723525929585</v>
      </c>
    </row>
    <row r="56" spans="1:3" x14ac:dyDescent="0.2">
      <c r="A56" s="4">
        <v>23</v>
      </c>
      <c r="B56" s="4">
        <v>5047.1669945934673</v>
      </c>
      <c r="C56" s="4">
        <v>0.83300540653272037</v>
      </c>
    </row>
    <row r="57" spans="1:3" x14ac:dyDescent="0.2">
      <c r="A57" s="4">
        <v>24</v>
      </c>
      <c r="B57" s="4">
        <v>4568.9894052553209</v>
      </c>
      <c r="C57" s="4">
        <v>1.059474467911059E-2</v>
      </c>
    </row>
    <row r="58" spans="1:3" x14ac:dyDescent="0.2">
      <c r="A58" s="4">
        <v>25</v>
      </c>
      <c r="B58" s="4">
        <v>4067.1099949866712</v>
      </c>
      <c r="C58" s="4">
        <v>-0.10999498667115404</v>
      </c>
    </row>
    <row r="59" spans="1:3" x14ac:dyDescent="0.2">
      <c r="A59" s="4">
        <v>26</v>
      </c>
      <c r="B59" s="4">
        <v>3803.9824148559519</v>
      </c>
      <c r="C59" s="4">
        <v>1.75851440480983E-2</v>
      </c>
    </row>
    <row r="60" spans="1:3" x14ac:dyDescent="0.2">
      <c r="A60" s="4">
        <v>27</v>
      </c>
      <c r="B60" s="4">
        <v>3496.0696689108286</v>
      </c>
      <c r="C60" s="4">
        <v>-6.9668910828568187E-2</v>
      </c>
    </row>
    <row r="61" spans="1:3" x14ac:dyDescent="0.2">
      <c r="A61" s="4">
        <v>28</v>
      </c>
      <c r="B61" s="4">
        <v>3104.0536549905864</v>
      </c>
      <c r="C61" s="4">
        <v>-5.3654990586437634E-2</v>
      </c>
    </row>
    <row r="62" spans="1:3" x14ac:dyDescent="0.2">
      <c r="A62" s="4">
        <v>29</v>
      </c>
      <c r="B62" s="4">
        <v>2904.9821119838416</v>
      </c>
      <c r="C62" s="4">
        <v>1.7888016158394748E-2</v>
      </c>
    </row>
    <row r="63" spans="1:3" x14ac:dyDescent="0.2">
      <c r="A63" s="4">
        <v>30</v>
      </c>
      <c r="B63" s="4">
        <v>2571.088559445122</v>
      </c>
      <c r="C63" s="4">
        <v>-8.8559445121973113E-2</v>
      </c>
    </row>
    <row r="64" spans="1:3" x14ac:dyDescent="0.2">
      <c r="A64" s="4">
        <v>31</v>
      </c>
      <c r="B64" s="4">
        <v>2427.0375373945544</v>
      </c>
      <c r="C64" s="4">
        <v>-3.7537394554419734E-2</v>
      </c>
    </row>
    <row r="65" spans="1:3" x14ac:dyDescent="0.2">
      <c r="A65" s="4">
        <v>32</v>
      </c>
      <c r="B65" s="4">
        <v>2122.9672559769606</v>
      </c>
      <c r="C65" s="4">
        <v>3.274402303941315E-2</v>
      </c>
    </row>
    <row r="66" spans="1:3" x14ac:dyDescent="0.2">
      <c r="A66" s="4">
        <v>33</v>
      </c>
      <c r="B66" s="4">
        <v>1917.9906073626341</v>
      </c>
      <c r="C66" s="4">
        <v>9.3926373658632656E-3</v>
      </c>
    </row>
    <row r="67" spans="1:3" ht="17" thickBot="1" x14ac:dyDescent="0.25">
      <c r="A67" s="5">
        <v>34</v>
      </c>
      <c r="B67" s="5">
        <v>1828.9391016173936</v>
      </c>
      <c r="C67" s="5">
        <v>6.0898382606410451E-2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391AC-5CC7-B941-AFBA-AF3A09E4A894}">
  <dimension ref="A1:D11"/>
  <sheetViews>
    <sheetView workbookViewId="0">
      <selection activeCell="A2" sqref="A2:A11"/>
    </sheetView>
  </sheetViews>
  <sheetFormatPr baseColWidth="10" defaultRowHeight="16" x14ac:dyDescent="0.2"/>
  <cols>
    <col min="1" max="1" width="21.83203125" customWidth="1"/>
    <col min="2" max="2" width="14.1640625" customWidth="1"/>
    <col min="3" max="3" width="15.33203125" customWidth="1"/>
    <col min="4" max="4" width="17.33203125" customWidth="1"/>
  </cols>
  <sheetData>
    <row r="1" spans="1:4" x14ac:dyDescent="0.2">
      <c r="A1" t="s">
        <v>41</v>
      </c>
      <c r="B1" t="s">
        <v>28</v>
      </c>
      <c r="C1" t="s">
        <v>16</v>
      </c>
      <c r="D1" t="s">
        <v>42</v>
      </c>
    </row>
    <row r="2" spans="1:4" x14ac:dyDescent="0.2">
      <c r="A2" s="4" t="s">
        <v>2</v>
      </c>
      <c r="B2" s="4">
        <v>-4.7263201935498191E-2</v>
      </c>
      <c r="C2" s="4">
        <v>0.10273166455847464</v>
      </c>
      <c r="D2" s="8">
        <v>0.64978955999999999</v>
      </c>
    </row>
    <row r="3" spans="1:4" x14ac:dyDescent="0.2">
      <c r="A3" s="4" t="s">
        <v>3</v>
      </c>
      <c r="B3" s="4">
        <v>-4.0956931031983571E-2</v>
      </c>
      <c r="C3" s="4">
        <v>0.14625982107791219</v>
      </c>
      <c r="D3" s="8">
        <v>0.78195868999999996</v>
      </c>
    </row>
    <row r="4" spans="1:4" x14ac:dyDescent="0.2">
      <c r="A4" s="4" t="s">
        <v>4</v>
      </c>
      <c r="B4" s="4">
        <v>-2.3645109107137307E-2</v>
      </c>
      <c r="C4" s="4">
        <v>8.7131199082621319E-2</v>
      </c>
      <c r="D4" s="8">
        <v>0.78852453</v>
      </c>
    </row>
    <row r="5" spans="1:4" x14ac:dyDescent="0.2">
      <c r="A5" s="4" t="s">
        <v>5</v>
      </c>
      <c r="B5" s="4">
        <v>-5.8240492281743474E-2</v>
      </c>
      <c r="C5" s="4">
        <v>3.6945238296572001E-2</v>
      </c>
      <c r="D5" s="8">
        <v>0.12858974000000001</v>
      </c>
    </row>
    <row r="6" spans="1:4" x14ac:dyDescent="0.2">
      <c r="A6" s="4" t="s">
        <v>6</v>
      </c>
      <c r="B6" s="4">
        <v>-2.7906323379453236E-2</v>
      </c>
      <c r="C6" s="4">
        <v>2.5613424312326466E-2</v>
      </c>
      <c r="D6" s="8">
        <v>0.28720909999999999</v>
      </c>
    </row>
    <row r="7" spans="1:4" x14ac:dyDescent="0.2">
      <c r="A7" s="4" t="s">
        <v>7</v>
      </c>
      <c r="B7" s="4">
        <v>-2.7829732838690426E-2</v>
      </c>
      <c r="C7" s="4">
        <v>2.5616514245207722E-2</v>
      </c>
      <c r="D7" s="8">
        <v>0.28855815000000001</v>
      </c>
    </row>
    <row r="8" spans="1:4" x14ac:dyDescent="0.2">
      <c r="A8" s="4" t="s">
        <v>8</v>
      </c>
      <c r="B8" s="4">
        <v>-2.8094475175596517E-2</v>
      </c>
      <c r="C8" s="4">
        <v>2.5597118284415629E-2</v>
      </c>
      <c r="D8" s="8">
        <v>0.28375313000000002</v>
      </c>
    </row>
    <row r="9" spans="1:4" x14ac:dyDescent="0.2">
      <c r="A9" s="4" t="s">
        <v>9</v>
      </c>
      <c r="B9" s="4">
        <v>-2.8123863299978822E-2</v>
      </c>
      <c r="C9" s="4">
        <v>2.5954103012462953E-2</v>
      </c>
      <c r="D9" s="8">
        <v>0.28977143</v>
      </c>
    </row>
    <row r="10" spans="1:4" x14ac:dyDescent="0.2">
      <c r="A10" s="4" t="s">
        <v>39</v>
      </c>
      <c r="B10" s="4">
        <v>1.0277828151749884</v>
      </c>
      <c r="C10" s="4">
        <v>2.5580832143843851E-2</v>
      </c>
      <c r="D10" s="9">
        <v>8.2547000000000002E-23</v>
      </c>
    </row>
    <row r="11" spans="1:4" ht="17" thickBot="1" x14ac:dyDescent="0.25">
      <c r="A11" s="11" t="s">
        <v>40</v>
      </c>
      <c r="B11" s="11">
        <v>1.0279914934585535</v>
      </c>
      <c r="C11" s="11">
        <v>2.5638318783622688E-2</v>
      </c>
      <c r="D11" s="10">
        <v>8.6460999999999999E-23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0E796-D87D-F046-9660-66CFB18085F5}">
  <dimension ref="A3:D14"/>
  <sheetViews>
    <sheetView workbookViewId="0">
      <selection activeCell="F12" sqref="F12"/>
    </sheetView>
  </sheetViews>
  <sheetFormatPr baseColWidth="10" defaultRowHeight="16" x14ac:dyDescent="0.2"/>
  <cols>
    <col min="1" max="1" width="22.1640625" bestFit="1" customWidth="1"/>
    <col min="2" max="2" width="11.1640625" bestFit="1" customWidth="1"/>
    <col min="3" max="3" width="12.83203125" bestFit="1" customWidth="1"/>
    <col min="4" max="4" width="13.83203125" bestFit="1" customWidth="1"/>
  </cols>
  <sheetData>
    <row r="3" spans="1:4" x14ac:dyDescent="0.2">
      <c r="A3" s="13" t="s">
        <v>43</v>
      </c>
      <c r="B3" s="12" t="s">
        <v>44</v>
      </c>
      <c r="C3" s="12" t="s">
        <v>45</v>
      </c>
      <c r="D3" s="12" t="s">
        <v>46</v>
      </c>
    </row>
    <row r="4" spans="1:4" x14ac:dyDescent="0.2">
      <c r="A4" s="2" t="s">
        <v>2</v>
      </c>
      <c r="B4" s="3">
        <v>0.64978955999999999</v>
      </c>
      <c r="C4" s="3">
        <v>-4.7263201935498191E-2</v>
      </c>
      <c r="D4" s="3">
        <v>0.10273166455847464</v>
      </c>
    </row>
    <row r="5" spans="1:4" x14ac:dyDescent="0.2">
      <c r="A5" s="2" t="s">
        <v>3</v>
      </c>
      <c r="B5" s="3">
        <v>0.78195868999999996</v>
      </c>
      <c r="C5" s="3">
        <v>-4.0956931031983571E-2</v>
      </c>
      <c r="D5" s="3">
        <v>0.14625982107791219</v>
      </c>
    </row>
    <row r="6" spans="1:4" x14ac:dyDescent="0.2">
      <c r="A6" s="2" t="s">
        <v>5</v>
      </c>
      <c r="B6" s="3">
        <v>0.12858974000000001</v>
      </c>
      <c r="C6" s="3">
        <v>-5.8240492281743474E-2</v>
      </c>
      <c r="D6" s="3">
        <v>3.6945238296572001E-2</v>
      </c>
    </row>
    <row r="7" spans="1:4" x14ac:dyDescent="0.2">
      <c r="A7" s="2" t="s">
        <v>6</v>
      </c>
      <c r="B7" s="3">
        <v>0.28720909999999999</v>
      </c>
      <c r="C7" s="3">
        <v>-2.7906323379453236E-2</v>
      </c>
      <c r="D7" s="3">
        <v>2.5613424312326466E-2</v>
      </c>
    </row>
    <row r="8" spans="1:4" x14ac:dyDescent="0.2">
      <c r="A8" s="2" t="s">
        <v>7</v>
      </c>
      <c r="B8" s="3">
        <v>0.28855815000000001</v>
      </c>
      <c r="C8" s="3">
        <v>-2.7829732838690426E-2</v>
      </c>
      <c r="D8" s="3">
        <v>2.5616514245207722E-2</v>
      </c>
    </row>
    <row r="9" spans="1:4" x14ac:dyDescent="0.2">
      <c r="A9" s="2" t="s">
        <v>8</v>
      </c>
      <c r="B9" s="3">
        <v>0.28375313000000002</v>
      </c>
      <c r="C9" s="3">
        <v>-2.8094475175596517E-2</v>
      </c>
      <c r="D9" s="3">
        <v>2.5597118284415629E-2</v>
      </c>
    </row>
    <row r="10" spans="1:4" x14ac:dyDescent="0.2">
      <c r="A10" s="2" t="s">
        <v>4</v>
      </c>
      <c r="B10" s="3">
        <v>0.78852453</v>
      </c>
      <c r="C10" s="3">
        <v>-2.3645109107137307E-2</v>
      </c>
      <c r="D10" s="3">
        <v>8.7131199082621319E-2</v>
      </c>
    </row>
    <row r="11" spans="1:4" x14ac:dyDescent="0.2">
      <c r="A11" s="2" t="s">
        <v>9</v>
      </c>
      <c r="B11" s="3">
        <v>0.28977143</v>
      </c>
      <c r="C11" s="3">
        <v>-2.8123863299978822E-2</v>
      </c>
      <c r="D11" s="3">
        <v>2.5954103012462953E-2</v>
      </c>
    </row>
    <row r="12" spans="1:4" x14ac:dyDescent="0.2">
      <c r="A12" s="2" t="s">
        <v>40</v>
      </c>
      <c r="B12" s="3">
        <v>8.6460999999999999E-23</v>
      </c>
      <c r="C12" s="3">
        <v>1.0279914934585535</v>
      </c>
      <c r="D12" s="3">
        <v>2.5638318783622688E-2</v>
      </c>
    </row>
    <row r="13" spans="1:4" x14ac:dyDescent="0.2">
      <c r="A13" s="2" t="s">
        <v>39</v>
      </c>
      <c r="B13" s="3">
        <v>8.2547000000000002E-23</v>
      </c>
      <c r="C13" s="3">
        <v>1.0277828151749884</v>
      </c>
      <c r="D13" s="3">
        <v>2.5580832143843851E-2</v>
      </c>
    </row>
    <row r="14" spans="1:4" x14ac:dyDescent="0.2">
      <c r="A14" s="2" t="s">
        <v>10</v>
      </c>
      <c r="B14" s="3">
        <v>3.4981543300000002</v>
      </c>
      <c r="C14" s="3">
        <v>1.7737141795834603</v>
      </c>
      <c r="D14" s="3">
        <v>0.52706823379745937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3191D-C181-6D45-9C23-EF215F79537A}">
  <dimension ref="A3:B14"/>
  <sheetViews>
    <sheetView workbookViewId="0">
      <selection activeCell="G22" sqref="G22"/>
    </sheetView>
  </sheetViews>
  <sheetFormatPr baseColWidth="10" defaultRowHeight="16" x14ac:dyDescent="0.2"/>
  <cols>
    <col min="1" max="1" width="25.1640625" customWidth="1"/>
    <col min="2" max="2" width="16" bestFit="1" customWidth="1"/>
  </cols>
  <sheetData>
    <row r="3" spans="1:2" x14ac:dyDescent="0.2">
      <c r="A3" s="13" t="s">
        <v>50</v>
      </c>
      <c r="B3" s="12" t="s">
        <v>49</v>
      </c>
    </row>
    <row r="4" spans="1:2" x14ac:dyDescent="0.2">
      <c r="A4" s="2" t="s">
        <v>2</v>
      </c>
      <c r="B4" s="3">
        <v>1.29E-2</v>
      </c>
    </row>
    <row r="5" spans="1:2" x14ac:dyDescent="0.2">
      <c r="A5" s="2" t="s">
        <v>3</v>
      </c>
      <c r="B5" s="3">
        <v>5.9999999999999995E-4</v>
      </c>
    </row>
    <row r="6" spans="1:2" x14ac:dyDescent="0.2">
      <c r="A6" s="2" t="s">
        <v>5</v>
      </c>
      <c r="B6" s="3">
        <v>0.16819999999999999</v>
      </c>
    </row>
    <row r="7" spans="1:2" x14ac:dyDescent="0.2">
      <c r="A7" s="2" t="s">
        <v>6</v>
      </c>
      <c r="B7" s="3">
        <v>0.77849999999999997</v>
      </c>
    </row>
    <row r="8" spans="1:2" x14ac:dyDescent="0.2">
      <c r="A8" s="2" t="s">
        <v>7</v>
      </c>
      <c r="B8" s="3">
        <v>0.78869999999999996</v>
      </c>
    </row>
    <row r="9" spans="1:2" x14ac:dyDescent="0.2">
      <c r="A9" s="2" t="s">
        <v>8</v>
      </c>
      <c r="B9" s="3">
        <v>0.50380000000000003</v>
      </c>
    </row>
    <row r="10" spans="1:2" x14ac:dyDescent="0.2">
      <c r="A10" s="2" t="s">
        <v>4</v>
      </c>
      <c r="B10" s="3">
        <v>3.8800000000000001E-2</v>
      </c>
    </row>
    <row r="11" spans="1:2" x14ac:dyDescent="0.2">
      <c r="A11" s="2" t="s">
        <v>9</v>
      </c>
      <c r="B11" s="3">
        <v>7.5499999999999998E-2</v>
      </c>
    </row>
    <row r="12" spans="1:2" x14ac:dyDescent="0.2">
      <c r="A12" s="2" t="s">
        <v>40</v>
      </c>
      <c r="B12" s="3">
        <v>0.98770000000000002</v>
      </c>
    </row>
    <row r="13" spans="1:2" x14ac:dyDescent="0.2">
      <c r="A13" s="2" t="s">
        <v>39</v>
      </c>
      <c r="B13" s="3">
        <v>0.96660000000000001</v>
      </c>
    </row>
    <row r="14" spans="1:2" x14ac:dyDescent="0.2">
      <c r="A14" s="2" t="s">
        <v>10</v>
      </c>
      <c r="B14" s="3">
        <v>4.3212999999999999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28981-BED7-4A43-88C2-64EC4AA67959}">
  <dimension ref="A1:B11"/>
  <sheetViews>
    <sheetView workbookViewId="0">
      <selection sqref="A1:B11"/>
    </sheetView>
  </sheetViews>
  <sheetFormatPr baseColWidth="10" defaultRowHeight="16" x14ac:dyDescent="0.2"/>
  <cols>
    <col min="1" max="1" width="20.5" customWidth="1"/>
  </cols>
  <sheetData>
    <row r="1" spans="1:2" x14ac:dyDescent="0.2">
      <c r="A1" t="s">
        <v>47</v>
      </c>
      <c r="B1" t="s">
        <v>48</v>
      </c>
    </row>
    <row r="2" spans="1:2" x14ac:dyDescent="0.2">
      <c r="A2" s="4" t="s">
        <v>2</v>
      </c>
      <c r="B2">
        <v>1.29E-2</v>
      </c>
    </row>
    <row r="3" spans="1:2" x14ac:dyDescent="0.2">
      <c r="A3" s="4" t="s">
        <v>3</v>
      </c>
      <c r="B3">
        <v>5.9999999999999995E-4</v>
      </c>
    </row>
    <row r="4" spans="1:2" x14ac:dyDescent="0.2">
      <c r="A4" s="4" t="s">
        <v>4</v>
      </c>
      <c r="B4">
        <v>3.8800000000000001E-2</v>
      </c>
    </row>
    <row r="5" spans="1:2" x14ac:dyDescent="0.2">
      <c r="A5" s="4" t="s">
        <v>5</v>
      </c>
      <c r="B5">
        <v>0.16819999999999999</v>
      </c>
    </row>
    <row r="6" spans="1:2" x14ac:dyDescent="0.2">
      <c r="A6" s="4" t="s">
        <v>6</v>
      </c>
      <c r="B6">
        <v>0.77849999999999997</v>
      </c>
    </row>
    <row r="7" spans="1:2" x14ac:dyDescent="0.2">
      <c r="A7" s="4" t="s">
        <v>7</v>
      </c>
      <c r="B7">
        <v>0.78869999999999996</v>
      </c>
    </row>
    <row r="8" spans="1:2" x14ac:dyDescent="0.2">
      <c r="A8" s="4" t="s">
        <v>8</v>
      </c>
      <c r="B8">
        <v>0.50380000000000003</v>
      </c>
    </row>
    <row r="9" spans="1:2" x14ac:dyDescent="0.2">
      <c r="A9" s="4" t="s">
        <v>9</v>
      </c>
      <c r="B9">
        <v>7.5499999999999998E-2</v>
      </c>
    </row>
    <row r="10" spans="1:2" x14ac:dyDescent="0.2">
      <c r="A10" s="4" t="s">
        <v>39</v>
      </c>
      <c r="B10">
        <v>0.96660000000000001</v>
      </c>
    </row>
    <row r="11" spans="1:2" ht="17" thickBot="1" x14ac:dyDescent="0.25">
      <c r="A11" s="11" t="s">
        <v>40</v>
      </c>
      <c r="B11">
        <v>0.98770000000000002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Simple LR Graphs Age</vt:lpstr>
      <vt:lpstr>Simple LR Graphs Gender</vt:lpstr>
      <vt:lpstr>Multiple Regression</vt:lpstr>
      <vt:lpstr>Chart</vt:lpstr>
      <vt:lpstr>Chart2</vt:lpstr>
      <vt:lpstr>Chart3</vt:lpstr>
      <vt:lpstr>Chart4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Shannon Powelson</dc:creator>
  <cp:lastModifiedBy>Shannon Powelson</cp:lastModifiedBy>
  <cp:lastPrinted>2021-03-04T06:40:26Z</cp:lastPrinted>
  <dcterms:created xsi:type="dcterms:W3CDTF">2021-03-04T01:43:06Z</dcterms:created>
  <dcterms:modified xsi:type="dcterms:W3CDTF">2021-03-04T16:12:14Z</dcterms:modified>
</cp:coreProperties>
</file>